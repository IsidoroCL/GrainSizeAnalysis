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trlProps/ctrlProp14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35" yWindow="-120" windowWidth="13125" windowHeight="9765" activeTab="4"/>
  </bookViews>
  <sheets>
    <sheet name="Inicio" sheetId="1" r:id="rId1"/>
    <sheet name="Hoja3" sheetId="3" state="hidden" r:id="rId2"/>
    <sheet name="Unimodal" sheetId="9" r:id="rId3"/>
    <sheet name="Bimodal" sheetId="7" r:id="rId4"/>
    <sheet name="Trimodal" sheetId="8" r:id="rId5"/>
    <sheet name="Cuatrimodal" sheetId="10" r:id="rId6"/>
    <sheet name="Weibull" sheetId="2" r:id="rId7"/>
    <sheet name="Normal" sheetId="5" r:id="rId8"/>
    <sheet name="Combinada" sheetId="6" r:id="rId9"/>
    <sheet name="Gráficas" sheetId="11" r:id="rId10"/>
  </sheets>
  <definedNames>
    <definedName name="solver_adj" localSheetId="8" hidden="1">Combinada!$K$3:$N$5</definedName>
    <definedName name="solver_adj" localSheetId="1" hidden="1">Hoja3!$M$4:$M$9</definedName>
    <definedName name="solver_adj" localSheetId="7" hidden="1">Normal!$Q$2:$Q$10</definedName>
    <definedName name="solver_adj" localSheetId="6" hidden="1">Weibull!$P$4:$P$12</definedName>
    <definedName name="solver_cvg" localSheetId="8" hidden="1">0.0001</definedName>
    <definedName name="solver_cvg" localSheetId="1" hidden="1">0.0001</definedName>
    <definedName name="solver_cvg" localSheetId="7" hidden="1">0.0001</definedName>
    <definedName name="solver_cvg" localSheetId="6" hidden="1">0.0001</definedName>
    <definedName name="solver_drv" localSheetId="8" hidden="1">1</definedName>
    <definedName name="solver_drv" localSheetId="1" hidden="1">1</definedName>
    <definedName name="solver_drv" localSheetId="7" hidden="1">1</definedName>
    <definedName name="solver_drv" localSheetId="6" hidden="1">1</definedName>
    <definedName name="solver_eng" localSheetId="8" hidden="1">1</definedName>
    <definedName name="solver_eng" localSheetId="1" hidden="1">1</definedName>
    <definedName name="solver_eng" localSheetId="0" hidden="1">1</definedName>
    <definedName name="solver_eng" localSheetId="7" hidden="1">1</definedName>
    <definedName name="solver_eng" localSheetId="6" hidden="1">1</definedName>
    <definedName name="solver_est" localSheetId="8" hidden="1">1</definedName>
    <definedName name="solver_est" localSheetId="1" hidden="1">1</definedName>
    <definedName name="solver_est" localSheetId="7" hidden="1">1</definedName>
    <definedName name="solver_est" localSheetId="6" hidden="1">1</definedName>
    <definedName name="solver_itr" localSheetId="8" hidden="1">100</definedName>
    <definedName name="solver_itr" localSheetId="1" hidden="1">100</definedName>
    <definedName name="solver_itr" localSheetId="7" hidden="1">100</definedName>
    <definedName name="solver_itr" localSheetId="6" hidden="1">100</definedName>
    <definedName name="solver_lhs1" localSheetId="1" hidden="1">Hoja3!$M$5</definedName>
    <definedName name="solver_lhs1" localSheetId="7" hidden="1">Normal!$Q$2</definedName>
    <definedName name="solver_lhs1" localSheetId="6" hidden="1">Weibull!$P$4</definedName>
    <definedName name="solver_lhs10" localSheetId="7" hidden="1">Normal!$Q$10</definedName>
    <definedName name="solver_lhs10" localSheetId="6" hidden="1">Weibull!$P$4</definedName>
    <definedName name="solver_lhs11" localSheetId="7" hidden="1">Normal!$Q$9</definedName>
    <definedName name="solver_lhs11" localSheetId="6" hidden="1">Weibull!$P$7</definedName>
    <definedName name="solver_lhs12" localSheetId="7" hidden="1">Normal!$Q$10</definedName>
    <definedName name="solver_lhs12" localSheetId="6" hidden="1">Weibull!$P$10</definedName>
    <definedName name="solver_lhs13" localSheetId="7" hidden="1">Normal!$Q$11</definedName>
    <definedName name="solver_lhs13" localSheetId="6" hidden="1">Weibull!$P$4</definedName>
    <definedName name="solver_lhs14" localSheetId="7" hidden="1">Normal!$Q$13</definedName>
    <definedName name="solver_lhs14" localSheetId="6" hidden="1">Weibull!$P$7</definedName>
    <definedName name="solver_lhs15" localSheetId="7" hidden="1">Normal!$Q$12</definedName>
    <definedName name="solver_lhs15" localSheetId="6" hidden="1">Weibull!$P$10</definedName>
    <definedName name="solver_lhs16" localSheetId="7" hidden="1">Normal!$Q$13</definedName>
    <definedName name="solver_lhs16" localSheetId="6" hidden="1">Weibull!$P$13</definedName>
    <definedName name="solver_lhs17" localSheetId="7" hidden="1">Normal!$Q$9</definedName>
    <definedName name="solver_lhs18" localSheetId="7" hidden="1">Normal!$Q$13</definedName>
    <definedName name="solver_lhs19" localSheetId="7" hidden="1">Normal!$Q$12</definedName>
    <definedName name="solver_lhs2" localSheetId="7" hidden="1">Normal!$Q$4</definedName>
    <definedName name="solver_lhs2" localSheetId="6" hidden="1">Weibull!$P$5</definedName>
    <definedName name="solver_lhs20" localSheetId="7" hidden="1">Normal!$Q$13</definedName>
    <definedName name="solver_lhs3" localSheetId="7" hidden="1">Normal!$Q$3</definedName>
    <definedName name="solver_lhs3" localSheetId="6" hidden="1">Weibull!$P$7</definedName>
    <definedName name="solver_lhs4" localSheetId="7" hidden="1">Normal!$Q$4</definedName>
    <definedName name="solver_lhs4" localSheetId="6" hidden="1">Weibull!$P$8</definedName>
    <definedName name="solver_lhs5" localSheetId="7" hidden="1">Normal!$Q$5</definedName>
    <definedName name="solver_lhs5" localSheetId="6" hidden="1">Weibull!$P$6</definedName>
    <definedName name="solver_lhs6" localSheetId="7" hidden="1">Normal!$Q$7</definedName>
    <definedName name="solver_lhs6" localSheetId="6" hidden="1">Weibull!$P$9</definedName>
    <definedName name="solver_lhs7" localSheetId="7" hidden="1">Normal!$Q$6</definedName>
    <definedName name="solver_lhs7" localSheetId="6" hidden="1">Weibull!$P$10</definedName>
    <definedName name="solver_lhs8" localSheetId="7" hidden="1">Normal!$Q$7</definedName>
    <definedName name="solver_lhs8" localSheetId="6" hidden="1">Weibull!$P$11</definedName>
    <definedName name="solver_lhs9" localSheetId="7" hidden="1">Normal!$Q$8</definedName>
    <definedName name="solver_lhs9" localSheetId="6" hidden="1">Weibull!$P$12</definedName>
    <definedName name="solver_lin" localSheetId="8" hidden="1">2</definedName>
    <definedName name="solver_lin" localSheetId="1" hidden="1">2</definedName>
    <definedName name="solver_lin" localSheetId="7" hidden="1">2</definedName>
    <definedName name="solver_lin" localSheetId="6" hidden="1">2</definedName>
    <definedName name="solver_mip" localSheetId="1" hidden="1">2147483647</definedName>
    <definedName name="solver_mip" localSheetId="6" hidden="1">2147483647</definedName>
    <definedName name="solver_mni" localSheetId="1" hidden="1">30</definedName>
    <definedName name="solver_mni" localSheetId="6" hidden="1">30</definedName>
    <definedName name="solver_mrt" localSheetId="1" hidden="1">0.075</definedName>
    <definedName name="solver_mrt" localSheetId="6" hidden="1">0.075</definedName>
    <definedName name="solver_msl" localSheetId="1" hidden="1">2</definedName>
    <definedName name="solver_msl" localSheetId="6" hidden="1">2</definedName>
    <definedName name="solver_neg" localSheetId="8" hidden="1">1</definedName>
    <definedName name="solver_neg" localSheetId="1" hidden="1">2</definedName>
    <definedName name="solver_neg" localSheetId="0" hidden="1">1</definedName>
    <definedName name="solver_neg" localSheetId="7" hidden="1">1</definedName>
    <definedName name="solver_neg" localSheetId="6" hidden="1">1</definedName>
    <definedName name="solver_nod" localSheetId="1" hidden="1">2147483647</definedName>
    <definedName name="solver_nod" localSheetId="6" hidden="1">2147483647</definedName>
    <definedName name="solver_num" localSheetId="8" hidden="1">0</definedName>
    <definedName name="solver_num" localSheetId="1" hidden="1">0</definedName>
    <definedName name="solver_num" localSheetId="0" hidden="1">0</definedName>
    <definedName name="solver_num" localSheetId="7" hidden="1">12</definedName>
    <definedName name="solver_num" localSheetId="6" hidden="1">12</definedName>
    <definedName name="solver_nwt" localSheetId="8" hidden="1">1</definedName>
    <definedName name="solver_nwt" localSheetId="1" hidden="1">1</definedName>
    <definedName name="solver_nwt" localSheetId="7" hidden="1">1</definedName>
    <definedName name="solver_nwt" localSheetId="6" hidden="1">1</definedName>
    <definedName name="solver_opt" localSheetId="8" hidden="1">Combinada!$D$119</definedName>
    <definedName name="solver_opt" localSheetId="1" hidden="1">Hoja3!$D$102</definedName>
    <definedName name="solver_opt" localSheetId="0" hidden="1">Inicio!$K$11</definedName>
    <definedName name="solver_opt" localSheetId="7" hidden="1">Normal!$L$119</definedName>
    <definedName name="solver_opt" localSheetId="6" hidden="1">Weibull!$K$119</definedName>
    <definedName name="solver_pre" localSheetId="8" hidden="1">0.001</definedName>
    <definedName name="solver_pre" localSheetId="1" hidden="1">0.001</definedName>
    <definedName name="solver_pre" localSheetId="7" hidden="1">0.01</definedName>
    <definedName name="solver_pre" localSheetId="6" hidden="1">0.01</definedName>
    <definedName name="solver_rbv" localSheetId="1" hidden="1">1</definedName>
    <definedName name="solver_rbv" localSheetId="6" hidden="1">2</definedName>
    <definedName name="solver_rel1" localSheetId="1" hidden="1">3</definedName>
    <definedName name="solver_rel1" localSheetId="7" hidden="1">3</definedName>
    <definedName name="solver_rel1" localSheetId="6" hidden="1">3</definedName>
    <definedName name="solver_rel10" localSheetId="7" hidden="1">3</definedName>
    <definedName name="solver_rel10" localSheetId="6" hidden="1">1</definedName>
    <definedName name="solver_rel11" localSheetId="7" hidden="1">1</definedName>
    <definedName name="solver_rel11" localSheetId="6" hidden="1">1</definedName>
    <definedName name="solver_rel12" localSheetId="7" hidden="1">1</definedName>
    <definedName name="solver_rel12" localSheetId="6" hidden="1">1</definedName>
    <definedName name="solver_rel13" localSheetId="7" hidden="1">3</definedName>
    <definedName name="solver_rel13" localSheetId="6" hidden="1">1</definedName>
    <definedName name="solver_rel14" localSheetId="7" hidden="1">3</definedName>
    <definedName name="solver_rel14" localSheetId="6" hidden="1">1</definedName>
    <definedName name="solver_rel15" localSheetId="7" hidden="1">1</definedName>
    <definedName name="solver_rel15" localSheetId="6" hidden="1">1</definedName>
    <definedName name="solver_rel16" localSheetId="7" hidden="1">1</definedName>
    <definedName name="solver_rel16" localSheetId="6" hidden="1">1</definedName>
    <definedName name="solver_rel17" localSheetId="7" hidden="1">3</definedName>
    <definedName name="solver_rel18" localSheetId="7" hidden="1">3</definedName>
    <definedName name="solver_rel19" localSheetId="7" hidden="1">1</definedName>
    <definedName name="solver_rel2" localSheetId="7" hidden="1">3</definedName>
    <definedName name="solver_rel2" localSheetId="6" hidden="1">3</definedName>
    <definedName name="solver_rel20" localSheetId="7" hidden="1">1</definedName>
    <definedName name="solver_rel3" localSheetId="7" hidden="1">1</definedName>
    <definedName name="solver_rel3" localSheetId="6" hidden="1">3</definedName>
    <definedName name="solver_rel4" localSheetId="7" hidden="1">1</definedName>
    <definedName name="solver_rel4" localSheetId="6" hidden="1">3</definedName>
    <definedName name="solver_rel5" localSheetId="7" hidden="1">3</definedName>
    <definedName name="solver_rel5" localSheetId="6" hidden="1">3</definedName>
    <definedName name="solver_rel6" localSheetId="7" hidden="1">3</definedName>
    <definedName name="solver_rel6" localSheetId="6" hidden="1">3</definedName>
    <definedName name="solver_rel7" localSheetId="7" hidden="1">1</definedName>
    <definedName name="solver_rel7" localSheetId="6" hidden="1">3</definedName>
    <definedName name="solver_rel8" localSheetId="7" hidden="1">1</definedName>
    <definedName name="solver_rel8" localSheetId="6" hidden="1">3</definedName>
    <definedName name="solver_rel9" localSheetId="7" hidden="1">3</definedName>
    <definedName name="solver_rel9" localSheetId="6" hidden="1">3</definedName>
    <definedName name="solver_rhs1" localSheetId="7" hidden="1">Normal!V5</definedName>
    <definedName name="solver_rhs1" localSheetId="6" hidden="1">Weibull!V5</definedName>
    <definedName name="solver_rhs10" localSheetId="7" hidden="1">Normal!V5</definedName>
    <definedName name="solver_rhs10" localSheetId="6" hidden="1">90</definedName>
    <definedName name="solver_rhs11" localSheetId="7" hidden="1">10</definedName>
    <definedName name="solver_rhs11" localSheetId="6" hidden="1">90</definedName>
    <definedName name="solver_rhs12" localSheetId="7" hidden="1">20</definedName>
    <definedName name="solver_rhs12" localSheetId="6" hidden="1">90</definedName>
    <definedName name="solver_rhs13" localSheetId="7" hidden="1">Normal!V5</definedName>
    <definedName name="solver_rhs13" localSheetId="6" hidden="1">90</definedName>
    <definedName name="solver_rhs14" localSheetId="7" hidden="1">Normal!V5</definedName>
    <definedName name="solver_rhs14" localSheetId="6" hidden="1">90</definedName>
    <definedName name="solver_rhs15" localSheetId="7" hidden="1">10</definedName>
    <definedName name="solver_rhs15" localSheetId="6" hidden="1">90</definedName>
    <definedName name="solver_rhs16" localSheetId="7" hidden="1">20</definedName>
    <definedName name="solver_rhs16" localSheetId="6" hidden="1">90</definedName>
    <definedName name="solver_rhs17" localSheetId="7" hidden="1">Normal!V5</definedName>
    <definedName name="solver_rhs18" localSheetId="7" hidden="1">Normal!V5</definedName>
    <definedName name="solver_rhs19" localSheetId="7" hidden="1">10</definedName>
    <definedName name="solver_rhs2" localSheetId="7" hidden="1">Normal!V5</definedName>
    <definedName name="solver_rhs2" localSheetId="6" hidden="1">Weibull!V5</definedName>
    <definedName name="solver_rhs20" localSheetId="7" hidden="1">20</definedName>
    <definedName name="solver_rhs3" localSheetId="7" hidden="1">10</definedName>
    <definedName name="solver_rhs3" localSheetId="6" hidden="1">Weibull!V5</definedName>
    <definedName name="solver_rhs4" localSheetId="7" hidden="1">20</definedName>
    <definedName name="solver_rhs4" localSheetId="6" hidden="1">Weibull!V5</definedName>
    <definedName name="solver_rhs5" localSheetId="7" hidden="1">Normal!V5</definedName>
    <definedName name="solver_rhs5" localSheetId="6" hidden="1">Weibull!V5</definedName>
    <definedName name="solver_rhs6" localSheetId="7" hidden="1">Normal!V5</definedName>
    <definedName name="solver_rhs6" localSheetId="6" hidden="1">Weibull!V5</definedName>
    <definedName name="solver_rhs7" localSheetId="7" hidden="1">10</definedName>
    <definedName name="solver_rhs7" localSheetId="6" hidden="1">Weibull!V5</definedName>
    <definedName name="solver_rhs8" localSheetId="7" hidden="1">20</definedName>
    <definedName name="solver_rhs8" localSheetId="6" hidden="1">Weibull!V5</definedName>
    <definedName name="solver_rhs9" localSheetId="7" hidden="1">Normal!V5</definedName>
    <definedName name="solver_rhs9" localSheetId="6" hidden="1">Weibull!V5</definedName>
    <definedName name="solver_rlx" localSheetId="1" hidden="1">2</definedName>
    <definedName name="solver_rlx" localSheetId="6" hidden="1">2</definedName>
    <definedName name="solver_rsd" localSheetId="1" hidden="1">0</definedName>
    <definedName name="solver_rsd" localSheetId="6" hidden="1">0</definedName>
    <definedName name="solver_scl" localSheetId="8" hidden="1">2</definedName>
    <definedName name="solver_scl" localSheetId="1" hidden="1">2</definedName>
    <definedName name="solver_scl" localSheetId="7" hidden="1">2</definedName>
    <definedName name="solver_scl" localSheetId="6" hidden="1">2</definedName>
    <definedName name="solver_sho" localSheetId="8" hidden="1">2</definedName>
    <definedName name="solver_sho" localSheetId="1" hidden="1">2</definedName>
    <definedName name="solver_sho" localSheetId="7" hidden="1">2</definedName>
    <definedName name="solver_sho" localSheetId="6" hidden="1">2</definedName>
    <definedName name="solver_ssz" localSheetId="1" hidden="1">100</definedName>
    <definedName name="solver_ssz" localSheetId="6" hidden="1">100</definedName>
    <definedName name="solver_tim" localSheetId="8" hidden="1">100</definedName>
    <definedName name="solver_tim" localSheetId="1" hidden="1">100</definedName>
    <definedName name="solver_tim" localSheetId="7" hidden="1">100</definedName>
    <definedName name="solver_tim" localSheetId="6" hidden="1">100</definedName>
    <definedName name="solver_tol" localSheetId="8" hidden="1">0.05</definedName>
    <definedName name="solver_tol" localSheetId="1" hidden="1">0.05</definedName>
    <definedName name="solver_tol" localSheetId="7" hidden="1">0.05</definedName>
    <definedName name="solver_tol" localSheetId="6" hidden="1">0.05</definedName>
    <definedName name="solver_typ" localSheetId="8" hidden="1">3</definedName>
    <definedName name="solver_typ" localSheetId="1" hidden="1">3</definedName>
    <definedName name="solver_typ" localSheetId="0" hidden="1">1</definedName>
    <definedName name="solver_typ" localSheetId="7" hidden="1">3</definedName>
    <definedName name="solver_typ" localSheetId="6" hidden="1">3</definedName>
    <definedName name="solver_val" localSheetId="8" hidden="1">0</definedName>
    <definedName name="solver_val" localSheetId="1" hidden="1">0</definedName>
    <definedName name="solver_val" localSheetId="0" hidden="1">0</definedName>
    <definedName name="solver_val" localSheetId="7" hidden="1">0</definedName>
    <definedName name="solver_val" localSheetId="6" hidden="1">0</definedName>
    <definedName name="solver_ver" localSheetId="8" hidden="1">3</definedName>
    <definedName name="solver_ver" localSheetId="1" hidden="1">3</definedName>
    <definedName name="solver_ver" localSheetId="0" hidden="1">3</definedName>
    <definedName name="solver_ver" localSheetId="7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F2" i="2" l="1"/>
  <c r="J35" i="1" l="1"/>
  <c r="I35" i="1"/>
  <c r="H35" i="1"/>
  <c r="G35" i="1"/>
  <c r="F35" i="1"/>
  <c r="E35" i="1"/>
  <c r="R7" i="2"/>
  <c r="R6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R12" i="5"/>
  <c r="R9" i="5"/>
  <c r="R6" i="5"/>
  <c r="R3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2" i="5"/>
  <c r="C3" i="2"/>
  <c r="E3" i="2"/>
  <c r="C4" i="2"/>
  <c r="E4" i="2"/>
  <c r="C5" i="2"/>
  <c r="E5" i="2"/>
  <c r="C6" i="2"/>
  <c r="E6" i="2"/>
  <c r="C7" i="2"/>
  <c r="E7" i="2"/>
  <c r="C8" i="2"/>
  <c r="E8" i="2"/>
  <c r="C9" i="2"/>
  <c r="E9" i="2"/>
  <c r="C10" i="2"/>
  <c r="E10" i="2"/>
  <c r="C11" i="2"/>
  <c r="E11" i="2"/>
  <c r="C12" i="2"/>
  <c r="E12" i="2"/>
  <c r="C13" i="2"/>
  <c r="E13" i="2"/>
  <c r="C14" i="2"/>
  <c r="E14" i="2"/>
  <c r="C15" i="2"/>
  <c r="E15" i="2"/>
  <c r="C16" i="2"/>
  <c r="E16" i="2"/>
  <c r="C17" i="2"/>
  <c r="E17" i="2"/>
  <c r="C18" i="2"/>
  <c r="E18" i="2"/>
  <c r="C19" i="2"/>
  <c r="E19" i="2"/>
  <c r="C20" i="2"/>
  <c r="E20" i="2"/>
  <c r="C21" i="2"/>
  <c r="E21" i="2"/>
  <c r="C22" i="2"/>
  <c r="E22" i="2"/>
  <c r="C23" i="2"/>
  <c r="E23" i="2"/>
  <c r="C24" i="2"/>
  <c r="E24" i="2"/>
  <c r="C25" i="2"/>
  <c r="E25" i="2"/>
  <c r="C26" i="2"/>
  <c r="E26" i="2"/>
  <c r="C27" i="2"/>
  <c r="E27" i="2"/>
  <c r="C28" i="2"/>
  <c r="E28" i="2"/>
  <c r="C29" i="2"/>
  <c r="E29" i="2"/>
  <c r="C30" i="2"/>
  <c r="E30" i="2"/>
  <c r="C31" i="2"/>
  <c r="E31" i="2"/>
  <c r="C32" i="2"/>
  <c r="E32" i="2"/>
  <c r="C33" i="2"/>
  <c r="E33" i="2"/>
  <c r="C34" i="2"/>
  <c r="E34" i="2"/>
  <c r="C35" i="2"/>
  <c r="E35" i="2"/>
  <c r="C36" i="2"/>
  <c r="E36" i="2"/>
  <c r="C37" i="2"/>
  <c r="E37" i="2"/>
  <c r="C38" i="2"/>
  <c r="E38" i="2"/>
  <c r="C39" i="2"/>
  <c r="E39" i="2"/>
  <c r="C40" i="2"/>
  <c r="E40" i="2"/>
  <c r="C41" i="2"/>
  <c r="E41" i="2"/>
  <c r="C42" i="2"/>
  <c r="E42" i="2"/>
  <c r="C43" i="2"/>
  <c r="E43" i="2"/>
  <c r="C44" i="2"/>
  <c r="E44" i="2"/>
  <c r="C45" i="2"/>
  <c r="E45" i="2"/>
  <c r="C46" i="2"/>
  <c r="E46" i="2"/>
  <c r="C47" i="2"/>
  <c r="E47" i="2"/>
  <c r="C48" i="2"/>
  <c r="E48" i="2"/>
  <c r="C49" i="2"/>
  <c r="E49" i="2"/>
  <c r="C50" i="2"/>
  <c r="E50" i="2"/>
  <c r="C51" i="2"/>
  <c r="E51" i="2"/>
  <c r="C52" i="2"/>
  <c r="E52" i="2"/>
  <c r="C53" i="2"/>
  <c r="E53" i="2"/>
  <c r="C54" i="2"/>
  <c r="E54" i="2"/>
  <c r="C55" i="2"/>
  <c r="E55" i="2"/>
  <c r="C56" i="2"/>
  <c r="E56" i="2"/>
  <c r="C57" i="2"/>
  <c r="E57" i="2"/>
  <c r="C58" i="2"/>
  <c r="E58" i="2"/>
  <c r="C59" i="2"/>
  <c r="E59" i="2"/>
  <c r="C60" i="2"/>
  <c r="E60" i="2"/>
  <c r="C61" i="2"/>
  <c r="E61" i="2"/>
  <c r="C62" i="2"/>
  <c r="E62" i="2"/>
  <c r="C63" i="2"/>
  <c r="E63" i="2"/>
  <c r="C64" i="2"/>
  <c r="E64" i="2"/>
  <c r="C65" i="2"/>
  <c r="E65" i="2"/>
  <c r="C66" i="2"/>
  <c r="E66" i="2"/>
  <c r="C67" i="2"/>
  <c r="E67" i="2"/>
  <c r="C68" i="2"/>
  <c r="E68" i="2"/>
  <c r="C69" i="2"/>
  <c r="E69" i="2"/>
  <c r="C70" i="2"/>
  <c r="E70" i="2"/>
  <c r="C71" i="2"/>
  <c r="E71" i="2"/>
  <c r="C72" i="2"/>
  <c r="E72" i="2"/>
  <c r="C73" i="2"/>
  <c r="E73" i="2"/>
  <c r="C74" i="2"/>
  <c r="E74" i="2"/>
  <c r="C75" i="2"/>
  <c r="E75" i="2"/>
  <c r="C76" i="2"/>
  <c r="E76" i="2"/>
  <c r="C77" i="2"/>
  <c r="E77" i="2"/>
  <c r="C78" i="2"/>
  <c r="E78" i="2"/>
  <c r="C79" i="2"/>
  <c r="E79" i="2"/>
  <c r="C80" i="2"/>
  <c r="E80" i="2"/>
  <c r="C81" i="2"/>
  <c r="E81" i="2"/>
  <c r="C82" i="2"/>
  <c r="E82" i="2"/>
  <c r="C83" i="2"/>
  <c r="E83" i="2"/>
  <c r="C84" i="2"/>
  <c r="E84" i="2"/>
  <c r="C85" i="2"/>
  <c r="E85" i="2"/>
  <c r="C86" i="2"/>
  <c r="E86" i="2"/>
  <c r="C87" i="2"/>
  <c r="E87" i="2"/>
  <c r="C88" i="2"/>
  <c r="E88" i="2"/>
  <c r="C89" i="2"/>
  <c r="E89" i="2"/>
  <c r="C90" i="2"/>
  <c r="E90" i="2"/>
  <c r="C91" i="2"/>
  <c r="E91" i="2"/>
  <c r="C92" i="2"/>
  <c r="E92" i="2"/>
  <c r="C93" i="2"/>
  <c r="E93" i="2"/>
  <c r="C94" i="2"/>
  <c r="E94" i="2"/>
  <c r="C95" i="2"/>
  <c r="E95" i="2"/>
  <c r="C96" i="2"/>
  <c r="E96" i="2"/>
  <c r="C97" i="2"/>
  <c r="E97" i="2"/>
  <c r="C98" i="2"/>
  <c r="E98" i="2"/>
  <c r="C99" i="2"/>
  <c r="E99" i="2"/>
  <c r="C100" i="2"/>
  <c r="E100" i="2"/>
  <c r="C101" i="2"/>
  <c r="E101" i="2"/>
  <c r="C102" i="2"/>
  <c r="E102" i="2"/>
  <c r="C103" i="2"/>
  <c r="E103" i="2"/>
  <c r="C104" i="2"/>
  <c r="E104" i="2"/>
  <c r="C105" i="2"/>
  <c r="E105" i="2"/>
  <c r="C106" i="2"/>
  <c r="E106" i="2"/>
  <c r="C107" i="2"/>
  <c r="E107" i="2"/>
  <c r="C108" i="2"/>
  <c r="E108" i="2"/>
  <c r="C109" i="2"/>
  <c r="E109" i="2"/>
  <c r="C110" i="2"/>
  <c r="E110" i="2"/>
  <c r="C111" i="2"/>
  <c r="E111" i="2"/>
  <c r="C112" i="2"/>
  <c r="E112" i="2"/>
  <c r="C113" i="2"/>
  <c r="E113" i="2"/>
  <c r="C114" i="2"/>
  <c r="E114" i="2"/>
  <c r="C115" i="2"/>
  <c r="E115" i="2"/>
  <c r="C116" i="2"/>
  <c r="E116" i="2"/>
  <c r="C117" i="2"/>
  <c r="E117" i="2"/>
  <c r="C118" i="2"/>
  <c r="E118" i="2"/>
  <c r="E2" i="2"/>
  <c r="C2" i="2"/>
  <c r="P39" i="2" l="1"/>
  <c r="D3" i="9" s="1"/>
  <c r="I33" i="1"/>
  <c r="G119" i="2"/>
  <c r="F119" i="2"/>
  <c r="J2" i="2"/>
  <c r="L5" i="2"/>
  <c r="M5" i="2" s="1"/>
  <c r="J3" i="2"/>
  <c r="K3" i="2" s="1"/>
  <c r="L117" i="2"/>
  <c r="M117" i="2" s="1"/>
  <c r="J115" i="2"/>
  <c r="K115" i="2" s="1"/>
  <c r="L113" i="2"/>
  <c r="M113" i="2" s="1"/>
  <c r="J111" i="2"/>
  <c r="K111" i="2" s="1"/>
  <c r="L109" i="2"/>
  <c r="M109" i="2" s="1"/>
  <c r="J107" i="2"/>
  <c r="K107" i="2" s="1"/>
  <c r="L105" i="2"/>
  <c r="M105" i="2" s="1"/>
  <c r="J103" i="2"/>
  <c r="K103" i="2" s="1"/>
  <c r="L101" i="2"/>
  <c r="M101" i="2" s="1"/>
  <c r="J99" i="2"/>
  <c r="K99" i="2" s="1"/>
  <c r="L97" i="2"/>
  <c r="M97" i="2" s="1"/>
  <c r="J95" i="2"/>
  <c r="K95" i="2" s="1"/>
  <c r="L93" i="2"/>
  <c r="M93" i="2" s="1"/>
  <c r="J91" i="2"/>
  <c r="K91" i="2" s="1"/>
  <c r="L89" i="2"/>
  <c r="M89" i="2" s="1"/>
  <c r="J87" i="2"/>
  <c r="K87" i="2" s="1"/>
  <c r="L85" i="2"/>
  <c r="M85" i="2" s="1"/>
  <c r="J83" i="2"/>
  <c r="K83" i="2" s="1"/>
  <c r="L81" i="2"/>
  <c r="M81" i="2" s="1"/>
  <c r="J79" i="2"/>
  <c r="K79" i="2" s="1"/>
  <c r="L77" i="2"/>
  <c r="M77" i="2" s="1"/>
  <c r="J75" i="2"/>
  <c r="K75" i="2" s="1"/>
  <c r="L73" i="2"/>
  <c r="M73" i="2" s="1"/>
  <c r="J71" i="2"/>
  <c r="K71" i="2" s="1"/>
  <c r="L69" i="2"/>
  <c r="M69" i="2" s="1"/>
  <c r="J67" i="2"/>
  <c r="K67" i="2" s="1"/>
  <c r="L65" i="2"/>
  <c r="M65" i="2" s="1"/>
  <c r="J63" i="2"/>
  <c r="K63" i="2" s="1"/>
  <c r="L61" i="2"/>
  <c r="M61" i="2" s="1"/>
  <c r="J59" i="2"/>
  <c r="K59" i="2" s="1"/>
  <c r="L57" i="2"/>
  <c r="M57" i="2" s="1"/>
  <c r="J55" i="2"/>
  <c r="K55" i="2" s="1"/>
  <c r="L53" i="2"/>
  <c r="M53" i="2" s="1"/>
  <c r="J51" i="2"/>
  <c r="K51" i="2" s="1"/>
  <c r="L49" i="2"/>
  <c r="M49" i="2" s="1"/>
  <c r="J47" i="2"/>
  <c r="K47" i="2" s="1"/>
  <c r="L45" i="2"/>
  <c r="M45" i="2" s="1"/>
  <c r="J43" i="2"/>
  <c r="K43" i="2" s="1"/>
  <c r="L41" i="2"/>
  <c r="M41" i="2" s="1"/>
  <c r="J39" i="2"/>
  <c r="K39" i="2" s="1"/>
  <c r="L37" i="2"/>
  <c r="M37" i="2" s="1"/>
  <c r="J35" i="2"/>
  <c r="K35" i="2" s="1"/>
  <c r="L33" i="2"/>
  <c r="M33" i="2" s="1"/>
  <c r="J31" i="2"/>
  <c r="K31" i="2" s="1"/>
  <c r="L29" i="2"/>
  <c r="M29" i="2" s="1"/>
  <c r="J27" i="2"/>
  <c r="K27" i="2" s="1"/>
  <c r="L25" i="2"/>
  <c r="M25" i="2" s="1"/>
  <c r="J23" i="2"/>
  <c r="K23" i="2" s="1"/>
  <c r="L21" i="2"/>
  <c r="M21" i="2" s="1"/>
  <c r="J19" i="2"/>
  <c r="K19" i="2" s="1"/>
  <c r="L17" i="2"/>
  <c r="M17" i="2" s="1"/>
  <c r="J15" i="2"/>
  <c r="K15" i="2" s="1"/>
  <c r="L13" i="2"/>
  <c r="M13" i="2" s="1"/>
  <c r="J11" i="2"/>
  <c r="K11" i="2" s="1"/>
  <c r="L9" i="2"/>
  <c r="M9" i="2" s="1"/>
  <c r="J7" i="2"/>
  <c r="K7" i="2" s="1"/>
  <c r="L118" i="2"/>
  <c r="M118" i="2" s="1"/>
  <c r="L116" i="2"/>
  <c r="M116" i="2" s="1"/>
  <c r="L114" i="2"/>
  <c r="M114" i="2" s="1"/>
  <c r="L112" i="2"/>
  <c r="M112" i="2" s="1"/>
  <c r="L110" i="2"/>
  <c r="M110" i="2" s="1"/>
  <c r="L108" i="2"/>
  <c r="M108" i="2" s="1"/>
  <c r="L106" i="2"/>
  <c r="M106" i="2" s="1"/>
  <c r="L104" i="2"/>
  <c r="M104" i="2" s="1"/>
  <c r="L102" i="2"/>
  <c r="M102" i="2" s="1"/>
  <c r="L100" i="2"/>
  <c r="M100" i="2" s="1"/>
  <c r="L98" i="2"/>
  <c r="M98" i="2" s="1"/>
  <c r="L96" i="2"/>
  <c r="M96" i="2" s="1"/>
  <c r="L94" i="2"/>
  <c r="M94" i="2" s="1"/>
  <c r="L92" i="2"/>
  <c r="M92" i="2" s="1"/>
  <c r="L90" i="2"/>
  <c r="M90" i="2" s="1"/>
  <c r="L88" i="2"/>
  <c r="M88" i="2" s="1"/>
  <c r="L86" i="2"/>
  <c r="M86" i="2" s="1"/>
  <c r="L84" i="2"/>
  <c r="M84" i="2" s="1"/>
  <c r="L82" i="2"/>
  <c r="M82" i="2" s="1"/>
  <c r="L80" i="2"/>
  <c r="M80" i="2" s="1"/>
  <c r="L78" i="2"/>
  <c r="M78" i="2" s="1"/>
  <c r="L76" i="2"/>
  <c r="M76" i="2" s="1"/>
  <c r="L74" i="2"/>
  <c r="M74" i="2" s="1"/>
  <c r="L72" i="2"/>
  <c r="M72" i="2" s="1"/>
  <c r="L70" i="2"/>
  <c r="M70" i="2" s="1"/>
  <c r="L68" i="2"/>
  <c r="M68" i="2" s="1"/>
  <c r="L66" i="2"/>
  <c r="M66" i="2" s="1"/>
  <c r="L64" i="2"/>
  <c r="M64" i="2" s="1"/>
  <c r="L62" i="2"/>
  <c r="M62" i="2" s="1"/>
  <c r="L60" i="2"/>
  <c r="M60" i="2" s="1"/>
  <c r="L58" i="2"/>
  <c r="M58" i="2" s="1"/>
  <c r="L56" i="2"/>
  <c r="M56" i="2" s="1"/>
  <c r="L54" i="2"/>
  <c r="M54" i="2" s="1"/>
  <c r="L52" i="2"/>
  <c r="M52" i="2" s="1"/>
  <c r="L50" i="2"/>
  <c r="M50" i="2" s="1"/>
  <c r="L48" i="2"/>
  <c r="M48" i="2" s="1"/>
  <c r="L46" i="2"/>
  <c r="M46" i="2" s="1"/>
  <c r="L44" i="2"/>
  <c r="M44" i="2" s="1"/>
  <c r="L42" i="2"/>
  <c r="M42" i="2" s="1"/>
  <c r="L40" i="2"/>
  <c r="M40" i="2" s="1"/>
  <c r="L38" i="2"/>
  <c r="M38" i="2" s="1"/>
  <c r="L36" i="2"/>
  <c r="M36" i="2" s="1"/>
  <c r="L34" i="2"/>
  <c r="M34" i="2" s="1"/>
  <c r="L32" i="2"/>
  <c r="M32" i="2" s="1"/>
  <c r="L30" i="2"/>
  <c r="M30" i="2" s="1"/>
  <c r="L28" i="2"/>
  <c r="M28" i="2" s="1"/>
  <c r="L26" i="2"/>
  <c r="M26" i="2" s="1"/>
  <c r="L24" i="2"/>
  <c r="M24" i="2" s="1"/>
  <c r="L22" i="2"/>
  <c r="M22" i="2" s="1"/>
  <c r="L20" i="2"/>
  <c r="M20" i="2" s="1"/>
  <c r="L18" i="2"/>
  <c r="M18" i="2" s="1"/>
  <c r="L16" i="2"/>
  <c r="M16" i="2" s="1"/>
  <c r="L14" i="2"/>
  <c r="M14" i="2" s="1"/>
  <c r="L12" i="2"/>
  <c r="M12" i="2" s="1"/>
  <c r="L10" i="2"/>
  <c r="M10" i="2" s="1"/>
  <c r="L8" i="2"/>
  <c r="M8" i="2" s="1"/>
  <c r="L6" i="2"/>
  <c r="M6" i="2" s="1"/>
  <c r="L4" i="2"/>
  <c r="M4" i="2" s="1"/>
  <c r="D116" i="2"/>
  <c r="D112" i="2"/>
  <c r="D108" i="2"/>
  <c r="D104" i="2"/>
  <c r="D100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4" i="2"/>
  <c r="J116" i="2"/>
  <c r="K116" i="2" s="1"/>
  <c r="J112" i="2"/>
  <c r="K112" i="2" s="1"/>
  <c r="J108" i="2"/>
  <c r="K108" i="2" s="1"/>
  <c r="J104" i="2"/>
  <c r="K104" i="2" s="1"/>
  <c r="J100" i="2"/>
  <c r="K100" i="2" s="1"/>
  <c r="J96" i="2"/>
  <c r="K96" i="2" s="1"/>
  <c r="J92" i="2"/>
  <c r="K92" i="2" s="1"/>
  <c r="J88" i="2"/>
  <c r="K88" i="2" s="1"/>
  <c r="J84" i="2"/>
  <c r="K84" i="2" s="1"/>
  <c r="J80" i="2"/>
  <c r="K80" i="2" s="1"/>
  <c r="J76" i="2"/>
  <c r="K76" i="2" s="1"/>
  <c r="J72" i="2"/>
  <c r="K72" i="2" s="1"/>
  <c r="J68" i="2"/>
  <c r="K68" i="2" s="1"/>
  <c r="J64" i="2"/>
  <c r="K64" i="2" s="1"/>
  <c r="J60" i="2"/>
  <c r="K60" i="2" s="1"/>
  <c r="J56" i="2"/>
  <c r="K56" i="2" s="1"/>
  <c r="J52" i="2"/>
  <c r="K52" i="2" s="1"/>
  <c r="J48" i="2"/>
  <c r="K48" i="2" s="1"/>
  <c r="J44" i="2"/>
  <c r="K44" i="2" s="1"/>
  <c r="J40" i="2"/>
  <c r="K40" i="2" s="1"/>
  <c r="J36" i="2"/>
  <c r="K36" i="2" s="1"/>
  <c r="J32" i="2"/>
  <c r="K32" i="2" s="1"/>
  <c r="J28" i="2"/>
  <c r="K28" i="2" s="1"/>
  <c r="J24" i="2"/>
  <c r="K24" i="2" s="1"/>
  <c r="J20" i="2"/>
  <c r="K20" i="2" s="1"/>
  <c r="J16" i="2"/>
  <c r="K16" i="2" s="1"/>
  <c r="J12" i="2"/>
  <c r="K12" i="2" s="1"/>
  <c r="J8" i="2"/>
  <c r="K8" i="2" s="1"/>
  <c r="J4" i="2"/>
  <c r="K4" i="2" s="1"/>
  <c r="L2" i="2"/>
  <c r="L115" i="2"/>
  <c r="M115" i="2" s="1"/>
  <c r="L111" i="2"/>
  <c r="M111" i="2" s="1"/>
  <c r="L107" i="2"/>
  <c r="M107" i="2" s="1"/>
  <c r="L103" i="2"/>
  <c r="M103" i="2" s="1"/>
  <c r="L99" i="2"/>
  <c r="M99" i="2" s="1"/>
  <c r="L95" i="2"/>
  <c r="M95" i="2" s="1"/>
  <c r="L91" i="2"/>
  <c r="M91" i="2" s="1"/>
  <c r="L87" i="2"/>
  <c r="M87" i="2" s="1"/>
  <c r="L83" i="2"/>
  <c r="M83" i="2" s="1"/>
  <c r="L79" i="2"/>
  <c r="M79" i="2" s="1"/>
  <c r="L75" i="2"/>
  <c r="M75" i="2" s="1"/>
  <c r="L71" i="2"/>
  <c r="M71" i="2" s="1"/>
  <c r="L67" i="2"/>
  <c r="M67" i="2" s="1"/>
  <c r="L63" i="2"/>
  <c r="M63" i="2" s="1"/>
  <c r="L59" i="2"/>
  <c r="M59" i="2" s="1"/>
  <c r="L55" i="2"/>
  <c r="M55" i="2" s="1"/>
  <c r="L51" i="2"/>
  <c r="M51" i="2" s="1"/>
  <c r="L47" i="2"/>
  <c r="M47" i="2" s="1"/>
  <c r="L43" i="2"/>
  <c r="M43" i="2" s="1"/>
  <c r="L39" i="2"/>
  <c r="M39" i="2" s="1"/>
  <c r="L35" i="2"/>
  <c r="M35" i="2" s="1"/>
  <c r="L31" i="2"/>
  <c r="M31" i="2" s="1"/>
  <c r="L27" i="2"/>
  <c r="M27" i="2" s="1"/>
  <c r="L23" i="2"/>
  <c r="M23" i="2" s="1"/>
  <c r="L19" i="2"/>
  <c r="M19" i="2" s="1"/>
  <c r="L15" i="2"/>
  <c r="M15" i="2" s="1"/>
  <c r="L11" i="2"/>
  <c r="M11" i="2" s="1"/>
  <c r="L7" i="2"/>
  <c r="M7" i="2" s="1"/>
  <c r="L3" i="2"/>
  <c r="M3" i="2" s="1"/>
  <c r="D117" i="2"/>
  <c r="D113" i="2"/>
  <c r="D109" i="2"/>
  <c r="D105" i="2"/>
  <c r="D101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J117" i="2"/>
  <c r="K117" i="2" s="1"/>
  <c r="J113" i="2"/>
  <c r="K113" i="2" s="1"/>
  <c r="J109" i="2"/>
  <c r="K109" i="2" s="1"/>
  <c r="J105" i="2"/>
  <c r="K105" i="2" s="1"/>
  <c r="J101" i="2"/>
  <c r="K101" i="2" s="1"/>
  <c r="J97" i="2"/>
  <c r="K97" i="2" s="1"/>
  <c r="J93" i="2"/>
  <c r="K93" i="2" s="1"/>
  <c r="J89" i="2"/>
  <c r="K89" i="2" s="1"/>
  <c r="J85" i="2"/>
  <c r="K85" i="2" s="1"/>
  <c r="J81" i="2"/>
  <c r="K81" i="2" s="1"/>
  <c r="J77" i="2"/>
  <c r="K77" i="2" s="1"/>
  <c r="J73" i="2"/>
  <c r="K73" i="2" s="1"/>
  <c r="J69" i="2"/>
  <c r="K69" i="2" s="1"/>
  <c r="J65" i="2"/>
  <c r="K65" i="2" s="1"/>
  <c r="J61" i="2"/>
  <c r="K61" i="2" s="1"/>
  <c r="J57" i="2"/>
  <c r="K57" i="2" s="1"/>
  <c r="J53" i="2"/>
  <c r="K53" i="2" s="1"/>
  <c r="J49" i="2"/>
  <c r="K49" i="2" s="1"/>
  <c r="J45" i="2"/>
  <c r="K45" i="2" s="1"/>
  <c r="J41" i="2"/>
  <c r="K41" i="2" s="1"/>
  <c r="J37" i="2"/>
  <c r="K37" i="2" s="1"/>
  <c r="J33" i="2"/>
  <c r="K33" i="2" s="1"/>
  <c r="J29" i="2"/>
  <c r="K29" i="2" s="1"/>
  <c r="J25" i="2"/>
  <c r="K25" i="2" s="1"/>
  <c r="J21" i="2"/>
  <c r="K21" i="2" s="1"/>
  <c r="J17" i="2"/>
  <c r="K17" i="2" s="1"/>
  <c r="J13" i="2"/>
  <c r="K13" i="2" s="1"/>
  <c r="J9" i="2"/>
  <c r="K9" i="2" s="1"/>
  <c r="J5" i="2"/>
  <c r="K5" i="2" s="1"/>
  <c r="D118" i="2"/>
  <c r="D114" i="2"/>
  <c r="D110" i="2"/>
  <c r="D106" i="2"/>
  <c r="D102" i="2"/>
  <c r="D98" i="2"/>
  <c r="D94" i="2"/>
  <c r="D90" i="2"/>
  <c r="D86" i="2"/>
  <c r="D82" i="2"/>
  <c r="D78" i="2"/>
  <c r="D74" i="2"/>
  <c r="D70" i="2"/>
  <c r="D66" i="2"/>
  <c r="D62" i="2"/>
  <c r="D58" i="2"/>
  <c r="D54" i="2"/>
  <c r="D50" i="2"/>
  <c r="D46" i="2"/>
  <c r="D42" i="2"/>
  <c r="D38" i="2"/>
  <c r="D34" i="2"/>
  <c r="D30" i="2"/>
  <c r="D26" i="2"/>
  <c r="D22" i="2"/>
  <c r="D18" i="2"/>
  <c r="D14" i="2"/>
  <c r="D10" i="2"/>
  <c r="D6" i="2"/>
  <c r="J118" i="2"/>
  <c r="K118" i="2" s="1"/>
  <c r="J114" i="2"/>
  <c r="K114" i="2" s="1"/>
  <c r="J110" i="2"/>
  <c r="K110" i="2" s="1"/>
  <c r="J106" i="2"/>
  <c r="K106" i="2" s="1"/>
  <c r="J102" i="2"/>
  <c r="K102" i="2" s="1"/>
  <c r="J98" i="2"/>
  <c r="K98" i="2" s="1"/>
  <c r="J94" i="2"/>
  <c r="K94" i="2" s="1"/>
  <c r="J90" i="2"/>
  <c r="K90" i="2" s="1"/>
  <c r="J86" i="2"/>
  <c r="K86" i="2" s="1"/>
  <c r="J82" i="2"/>
  <c r="K82" i="2" s="1"/>
  <c r="J78" i="2"/>
  <c r="K78" i="2" s="1"/>
  <c r="J74" i="2"/>
  <c r="K74" i="2" s="1"/>
  <c r="J70" i="2"/>
  <c r="K70" i="2" s="1"/>
  <c r="J66" i="2"/>
  <c r="K66" i="2" s="1"/>
  <c r="J62" i="2"/>
  <c r="K62" i="2" s="1"/>
  <c r="J58" i="2"/>
  <c r="K58" i="2" s="1"/>
  <c r="J54" i="2"/>
  <c r="K54" i="2" s="1"/>
  <c r="J50" i="2"/>
  <c r="K50" i="2" s="1"/>
  <c r="J46" i="2"/>
  <c r="K46" i="2" s="1"/>
  <c r="J42" i="2"/>
  <c r="K42" i="2" s="1"/>
  <c r="J38" i="2"/>
  <c r="K38" i="2" s="1"/>
  <c r="J34" i="2"/>
  <c r="K34" i="2" s="1"/>
  <c r="J30" i="2"/>
  <c r="K30" i="2" s="1"/>
  <c r="J26" i="2"/>
  <c r="K26" i="2" s="1"/>
  <c r="J22" i="2"/>
  <c r="K22" i="2" s="1"/>
  <c r="J18" i="2"/>
  <c r="K18" i="2" s="1"/>
  <c r="J14" i="2"/>
  <c r="K14" i="2" s="1"/>
  <c r="J10" i="2"/>
  <c r="K10" i="2" s="1"/>
  <c r="J6" i="2"/>
  <c r="K6" i="2" s="1"/>
  <c r="D2" i="2"/>
  <c r="D115" i="2"/>
  <c r="D111" i="2"/>
  <c r="D107" i="2"/>
  <c r="D103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3" i="2"/>
  <c r="H119" i="5"/>
  <c r="S12" i="5" s="1"/>
  <c r="G119" i="5"/>
  <c r="S9" i="5" s="1"/>
  <c r="H58" i="2"/>
  <c r="H54" i="2"/>
  <c r="H50" i="2"/>
  <c r="H38" i="2"/>
  <c r="H34" i="2"/>
  <c r="H66" i="2"/>
  <c r="H30" i="2"/>
  <c r="H89" i="2"/>
  <c r="H81" i="2"/>
  <c r="H65" i="2"/>
  <c r="H61" i="2"/>
  <c r="H57" i="2"/>
  <c r="H49" i="2"/>
  <c r="H29" i="2"/>
  <c r="H8" i="2"/>
  <c r="H84" i="2"/>
  <c r="H32" i="2"/>
  <c r="H24" i="2"/>
  <c r="H16" i="2"/>
  <c r="H31" i="2"/>
  <c r="H27" i="2"/>
  <c r="H25" i="2"/>
  <c r="H15" i="2"/>
  <c r="H11" i="2"/>
  <c r="H9" i="2"/>
  <c r="H46" i="2"/>
  <c r="H118" i="2"/>
  <c r="I118" i="2" s="1"/>
  <c r="H114" i="2"/>
  <c r="I114" i="2" s="1"/>
  <c r="H112" i="2"/>
  <c r="I112" i="2" s="1"/>
  <c r="H110" i="2"/>
  <c r="I110" i="2" s="1"/>
  <c r="H104" i="2"/>
  <c r="I104" i="2" s="1"/>
  <c r="H102" i="2"/>
  <c r="I102" i="2" s="1"/>
  <c r="H96" i="2"/>
  <c r="H94" i="2"/>
  <c r="H92" i="2"/>
  <c r="H90" i="2"/>
  <c r="H82" i="2"/>
  <c r="H76" i="2"/>
  <c r="H74" i="2"/>
  <c r="H72" i="2"/>
  <c r="H70" i="2"/>
  <c r="H43" i="2"/>
  <c r="H39" i="2"/>
  <c r="H117" i="2"/>
  <c r="I117" i="2" s="1"/>
  <c r="H103" i="2"/>
  <c r="I103" i="2" s="1"/>
  <c r="H101" i="2"/>
  <c r="H99" i="2"/>
  <c r="H95" i="2"/>
  <c r="H93" i="2"/>
  <c r="H91" i="2"/>
  <c r="H83" i="2"/>
  <c r="H77" i="2"/>
  <c r="H75" i="2"/>
  <c r="H67" i="2"/>
  <c r="H63" i="2"/>
  <c r="H59" i="2"/>
  <c r="I59" i="2" s="1"/>
  <c r="H22" i="2"/>
  <c r="H20" i="2"/>
  <c r="H18" i="2"/>
  <c r="H73" i="2"/>
  <c r="H97" i="2"/>
  <c r="H44" i="2"/>
  <c r="H40" i="2"/>
  <c r="H68" i="2"/>
  <c r="H64" i="2"/>
  <c r="H56" i="2"/>
  <c r="H21" i="2"/>
  <c r="H13" i="2"/>
  <c r="H116" i="2"/>
  <c r="I116" i="2" s="1"/>
  <c r="H108" i="2"/>
  <c r="I108" i="2" s="1"/>
  <c r="H100" i="2"/>
  <c r="H41" i="2"/>
  <c r="H37" i="2"/>
  <c r="H106" i="2"/>
  <c r="I106" i="2" s="1"/>
  <c r="H48" i="2"/>
  <c r="H23" i="2"/>
  <c r="H14" i="2"/>
  <c r="H7" i="2"/>
  <c r="H5" i="2"/>
  <c r="H3" i="2"/>
  <c r="H2" i="2"/>
  <c r="H88" i="2"/>
  <c r="H86" i="2"/>
  <c r="H79" i="2"/>
  <c r="H107" i="2"/>
  <c r="I107" i="2" s="1"/>
  <c r="H105" i="2"/>
  <c r="I105" i="2" s="1"/>
  <c r="H47" i="2"/>
  <c r="H45" i="2"/>
  <c r="H6" i="2"/>
  <c r="H4" i="2"/>
  <c r="H115" i="2"/>
  <c r="I115" i="2" s="1"/>
  <c r="H113" i="2"/>
  <c r="I113" i="2" s="1"/>
  <c r="H111" i="2"/>
  <c r="I111" i="2" s="1"/>
  <c r="H109" i="2"/>
  <c r="I109" i="2" s="1"/>
  <c r="H98" i="2"/>
  <c r="H87" i="2"/>
  <c r="H85" i="2"/>
  <c r="H80" i="2"/>
  <c r="H78" i="2"/>
  <c r="H71" i="2"/>
  <c r="H69" i="2"/>
  <c r="H62" i="2"/>
  <c r="H55" i="2"/>
  <c r="H53" i="2"/>
  <c r="H51" i="2"/>
  <c r="H42" i="2"/>
  <c r="H35" i="2"/>
  <c r="H33" i="2"/>
  <c r="H28" i="2"/>
  <c r="H26" i="2"/>
  <c r="H19" i="2"/>
  <c r="H17" i="2"/>
  <c r="H12" i="2"/>
  <c r="H10" i="2"/>
  <c r="H60" i="2"/>
  <c r="H36" i="2"/>
  <c r="H52" i="2"/>
  <c r="N7" i="6"/>
  <c r="K7" i="6"/>
  <c r="C102" i="6"/>
  <c r="D102" i="6" s="1"/>
  <c r="E102" i="6"/>
  <c r="F102" i="6"/>
  <c r="C103" i="6"/>
  <c r="D103" i="6" s="1"/>
  <c r="E103" i="6"/>
  <c r="F103" i="6"/>
  <c r="C104" i="6"/>
  <c r="D104" i="6" s="1"/>
  <c r="E104" i="6"/>
  <c r="F104" i="6"/>
  <c r="C105" i="6"/>
  <c r="D105" i="6" s="1"/>
  <c r="E105" i="6"/>
  <c r="F105" i="6"/>
  <c r="C106" i="6"/>
  <c r="D106" i="6" s="1"/>
  <c r="E106" i="6"/>
  <c r="F106" i="6"/>
  <c r="C107" i="6"/>
  <c r="D107" i="6" s="1"/>
  <c r="E107" i="6"/>
  <c r="F107" i="6"/>
  <c r="C108" i="6"/>
  <c r="D108" i="6" s="1"/>
  <c r="E108" i="6"/>
  <c r="F108" i="6"/>
  <c r="C109" i="6"/>
  <c r="D109" i="6" s="1"/>
  <c r="E109" i="6"/>
  <c r="F109" i="6"/>
  <c r="C110" i="6"/>
  <c r="D110" i="6" s="1"/>
  <c r="E110" i="6"/>
  <c r="F110" i="6"/>
  <c r="C111" i="6"/>
  <c r="D111" i="6" s="1"/>
  <c r="E111" i="6"/>
  <c r="F111" i="6"/>
  <c r="C112" i="6"/>
  <c r="D112" i="6" s="1"/>
  <c r="E112" i="6"/>
  <c r="F112" i="6"/>
  <c r="C113" i="6"/>
  <c r="D113" i="6" s="1"/>
  <c r="E113" i="6"/>
  <c r="F113" i="6"/>
  <c r="C114" i="6"/>
  <c r="D114" i="6" s="1"/>
  <c r="E114" i="6"/>
  <c r="F114" i="6"/>
  <c r="C115" i="6"/>
  <c r="D115" i="6" s="1"/>
  <c r="E115" i="6"/>
  <c r="F115" i="6"/>
  <c r="C116" i="6"/>
  <c r="D116" i="6" s="1"/>
  <c r="E116" i="6"/>
  <c r="F116" i="6"/>
  <c r="C117" i="6"/>
  <c r="D117" i="6" s="1"/>
  <c r="E117" i="6"/>
  <c r="F117" i="6"/>
  <c r="C118" i="6"/>
  <c r="D118" i="6" s="1"/>
  <c r="E118" i="6"/>
  <c r="F118" i="6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R5" i="2"/>
  <c r="R4" i="2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2" i="6"/>
  <c r="C3" i="6"/>
  <c r="D3" i="6" s="1"/>
  <c r="C4" i="6"/>
  <c r="D4" i="6" s="1"/>
  <c r="C5" i="6"/>
  <c r="D5" i="6" s="1"/>
  <c r="C6" i="6"/>
  <c r="D6" i="6" s="1"/>
  <c r="C7" i="6"/>
  <c r="D7" i="6" s="1"/>
  <c r="C8" i="6"/>
  <c r="D8" i="6" s="1"/>
  <c r="C9" i="6"/>
  <c r="D9" i="6" s="1"/>
  <c r="C10" i="6"/>
  <c r="D10" i="6" s="1"/>
  <c r="C11" i="6"/>
  <c r="D11" i="6" s="1"/>
  <c r="C12" i="6"/>
  <c r="D12" i="6" s="1"/>
  <c r="C13" i="6"/>
  <c r="D13" i="6" s="1"/>
  <c r="C14" i="6"/>
  <c r="D14" i="6" s="1"/>
  <c r="C15" i="6"/>
  <c r="D15" i="6" s="1"/>
  <c r="C16" i="6"/>
  <c r="D16" i="6" s="1"/>
  <c r="C17" i="6"/>
  <c r="D17" i="6" s="1"/>
  <c r="C18" i="6"/>
  <c r="D18" i="6" s="1"/>
  <c r="C19" i="6"/>
  <c r="D19" i="6" s="1"/>
  <c r="C20" i="6"/>
  <c r="D20" i="6" s="1"/>
  <c r="C21" i="6"/>
  <c r="D21" i="6" s="1"/>
  <c r="C22" i="6"/>
  <c r="D22" i="6" s="1"/>
  <c r="C23" i="6"/>
  <c r="D23" i="6" s="1"/>
  <c r="C24" i="6"/>
  <c r="D24" i="6" s="1"/>
  <c r="C25" i="6"/>
  <c r="D25" i="6" s="1"/>
  <c r="C26" i="6"/>
  <c r="D26" i="6" s="1"/>
  <c r="C27" i="6"/>
  <c r="D27" i="6" s="1"/>
  <c r="C28" i="6"/>
  <c r="D28" i="6" s="1"/>
  <c r="C29" i="6"/>
  <c r="D29" i="6" s="1"/>
  <c r="C30" i="6"/>
  <c r="D30" i="6" s="1"/>
  <c r="C31" i="6"/>
  <c r="D31" i="6" s="1"/>
  <c r="C32" i="6"/>
  <c r="D32" i="6" s="1"/>
  <c r="C33" i="6"/>
  <c r="D33" i="6" s="1"/>
  <c r="C34" i="6"/>
  <c r="D34" i="6" s="1"/>
  <c r="C35" i="6"/>
  <c r="D35" i="6" s="1"/>
  <c r="C36" i="6"/>
  <c r="D36" i="6" s="1"/>
  <c r="C37" i="6"/>
  <c r="D37" i="6" s="1"/>
  <c r="C38" i="6"/>
  <c r="D38" i="6" s="1"/>
  <c r="C39" i="6"/>
  <c r="D39" i="6" s="1"/>
  <c r="C40" i="6"/>
  <c r="D40" i="6" s="1"/>
  <c r="C41" i="6"/>
  <c r="D41" i="6" s="1"/>
  <c r="C42" i="6"/>
  <c r="D42" i="6" s="1"/>
  <c r="C43" i="6"/>
  <c r="D43" i="6" s="1"/>
  <c r="C44" i="6"/>
  <c r="D44" i="6" s="1"/>
  <c r="C45" i="6"/>
  <c r="D45" i="6" s="1"/>
  <c r="C46" i="6"/>
  <c r="D46" i="6" s="1"/>
  <c r="C47" i="6"/>
  <c r="D47" i="6" s="1"/>
  <c r="C48" i="6"/>
  <c r="D48" i="6" s="1"/>
  <c r="C49" i="6"/>
  <c r="D49" i="6" s="1"/>
  <c r="C50" i="6"/>
  <c r="D50" i="6" s="1"/>
  <c r="C51" i="6"/>
  <c r="D51" i="6" s="1"/>
  <c r="C52" i="6"/>
  <c r="D52" i="6" s="1"/>
  <c r="C53" i="6"/>
  <c r="D53" i="6" s="1"/>
  <c r="C54" i="6"/>
  <c r="D54" i="6" s="1"/>
  <c r="C55" i="6"/>
  <c r="D55" i="6" s="1"/>
  <c r="C56" i="6"/>
  <c r="D56" i="6" s="1"/>
  <c r="C57" i="6"/>
  <c r="D57" i="6" s="1"/>
  <c r="C58" i="6"/>
  <c r="D58" i="6" s="1"/>
  <c r="C59" i="6"/>
  <c r="D59" i="6" s="1"/>
  <c r="C60" i="6"/>
  <c r="D60" i="6" s="1"/>
  <c r="C61" i="6"/>
  <c r="D61" i="6" s="1"/>
  <c r="C62" i="6"/>
  <c r="D62" i="6" s="1"/>
  <c r="C63" i="6"/>
  <c r="D63" i="6" s="1"/>
  <c r="C64" i="6"/>
  <c r="D64" i="6" s="1"/>
  <c r="C65" i="6"/>
  <c r="D65" i="6" s="1"/>
  <c r="C66" i="6"/>
  <c r="D66" i="6" s="1"/>
  <c r="C67" i="6"/>
  <c r="D67" i="6" s="1"/>
  <c r="C68" i="6"/>
  <c r="D68" i="6" s="1"/>
  <c r="C69" i="6"/>
  <c r="D69" i="6" s="1"/>
  <c r="C70" i="6"/>
  <c r="D70" i="6" s="1"/>
  <c r="C71" i="6"/>
  <c r="D71" i="6" s="1"/>
  <c r="C72" i="6"/>
  <c r="D72" i="6" s="1"/>
  <c r="C73" i="6"/>
  <c r="D73" i="6" s="1"/>
  <c r="C74" i="6"/>
  <c r="D74" i="6" s="1"/>
  <c r="C75" i="6"/>
  <c r="D75" i="6" s="1"/>
  <c r="C76" i="6"/>
  <c r="D76" i="6" s="1"/>
  <c r="C77" i="6"/>
  <c r="D77" i="6" s="1"/>
  <c r="C78" i="6"/>
  <c r="D78" i="6" s="1"/>
  <c r="C79" i="6"/>
  <c r="D79" i="6" s="1"/>
  <c r="C80" i="6"/>
  <c r="D80" i="6" s="1"/>
  <c r="C81" i="6"/>
  <c r="D81" i="6" s="1"/>
  <c r="C82" i="6"/>
  <c r="D82" i="6" s="1"/>
  <c r="C83" i="6"/>
  <c r="D83" i="6" s="1"/>
  <c r="C84" i="6"/>
  <c r="D84" i="6" s="1"/>
  <c r="C85" i="6"/>
  <c r="D85" i="6" s="1"/>
  <c r="C86" i="6"/>
  <c r="D86" i="6" s="1"/>
  <c r="C87" i="6"/>
  <c r="D87" i="6" s="1"/>
  <c r="C88" i="6"/>
  <c r="D88" i="6" s="1"/>
  <c r="C89" i="6"/>
  <c r="D89" i="6" s="1"/>
  <c r="C90" i="6"/>
  <c r="D90" i="6" s="1"/>
  <c r="C91" i="6"/>
  <c r="D91" i="6" s="1"/>
  <c r="C92" i="6"/>
  <c r="D92" i="6" s="1"/>
  <c r="C93" i="6"/>
  <c r="D93" i="6" s="1"/>
  <c r="C94" i="6"/>
  <c r="D94" i="6" s="1"/>
  <c r="C95" i="6"/>
  <c r="D95" i="6" s="1"/>
  <c r="C96" i="6"/>
  <c r="D96" i="6" s="1"/>
  <c r="C97" i="6"/>
  <c r="D97" i="6" s="1"/>
  <c r="C98" i="6"/>
  <c r="D98" i="6" s="1"/>
  <c r="C99" i="6"/>
  <c r="D99" i="6" s="1"/>
  <c r="C100" i="6"/>
  <c r="D100" i="6" s="1"/>
  <c r="C101" i="6"/>
  <c r="D101" i="6" s="1"/>
  <c r="C2" i="6"/>
  <c r="D2" i="6" s="1"/>
  <c r="H19" i="3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2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Q35" i="5" l="1"/>
  <c r="D4" i="9" s="1"/>
  <c r="P40" i="2"/>
  <c r="D3" i="7" s="1"/>
  <c r="N2" i="2"/>
  <c r="P42" i="2"/>
  <c r="D3" i="10" s="1"/>
  <c r="K2" i="2"/>
  <c r="K119" i="2" s="1"/>
  <c r="P41" i="2"/>
  <c r="D3" i="8" s="1"/>
  <c r="M119" i="2"/>
  <c r="L119" i="2"/>
  <c r="M2" i="2"/>
  <c r="D119" i="2"/>
  <c r="C3" i="9" s="1"/>
  <c r="J119" i="2"/>
  <c r="M92" i="5"/>
  <c r="N92" i="5" s="1"/>
  <c r="I92" i="5"/>
  <c r="J92" i="5" s="1"/>
  <c r="E92" i="5"/>
  <c r="K92" i="5"/>
  <c r="L92" i="5" s="1"/>
  <c r="M76" i="5"/>
  <c r="N76" i="5" s="1"/>
  <c r="I76" i="5"/>
  <c r="J76" i="5" s="1"/>
  <c r="E76" i="5"/>
  <c r="K76" i="5"/>
  <c r="L76" i="5" s="1"/>
  <c r="M64" i="5"/>
  <c r="N64" i="5" s="1"/>
  <c r="I64" i="5"/>
  <c r="J64" i="5" s="1"/>
  <c r="E64" i="5"/>
  <c r="K64" i="5"/>
  <c r="L64" i="5" s="1"/>
  <c r="M60" i="5"/>
  <c r="N60" i="5" s="1"/>
  <c r="I60" i="5"/>
  <c r="J60" i="5" s="1"/>
  <c r="E60" i="5"/>
  <c r="K60" i="5"/>
  <c r="L60" i="5" s="1"/>
  <c r="M56" i="5"/>
  <c r="N56" i="5" s="1"/>
  <c r="I56" i="5"/>
  <c r="J56" i="5" s="1"/>
  <c r="E56" i="5"/>
  <c r="K56" i="5"/>
  <c r="L56" i="5" s="1"/>
  <c r="M52" i="5"/>
  <c r="N52" i="5" s="1"/>
  <c r="I52" i="5"/>
  <c r="J52" i="5" s="1"/>
  <c r="E52" i="5"/>
  <c r="K52" i="5"/>
  <c r="L52" i="5" s="1"/>
  <c r="M48" i="5"/>
  <c r="N48" i="5" s="1"/>
  <c r="I48" i="5"/>
  <c r="J48" i="5" s="1"/>
  <c r="E48" i="5"/>
  <c r="K48" i="5"/>
  <c r="L48" i="5" s="1"/>
  <c r="M44" i="5"/>
  <c r="N44" i="5" s="1"/>
  <c r="I44" i="5"/>
  <c r="J44" i="5" s="1"/>
  <c r="E44" i="5"/>
  <c r="K44" i="5"/>
  <c r="L44" i="5" s="1"/>
  <c r="M40" i="5"/>
  <c r="N40" i="5" s="1"/>
  <c r="I40" i="5"/>
  <c r="J40" i="5" s="1"/>
  <c r="E40" i="5"/>
  <c r="K40" i="5"/>
  <c r="L40" i="5" s="1"/>
  <c r="M36" i="5"/>
  <c r="N36" i="5" s="1"/>
  <c r="I36" i="5"/>
  <c r="J36" i="5" s="1"/>
  <c r="E36" i="5"/>
  <c r="K36" i="5"/>
  <c r="L36" i="5" s="1"/>
  <c r="M32" i="5"/>
  <c r="N32" i="5" s="1"/>
  <c r="I32" i="5"/>
  <c r="J32" i="5" s="1"/>
  <c r="E32" i="5"/>
  <c r="K32" i="5"/>
  <c r="L32" i="5" s="1"/>
  <c r="M28" i="5"/>
  <c r="N28" i="5" s="1"/>
  <c r="I28" i="5"/>
  <c r="J28" i="5" s="1"/>
  <c r="E28" i="5"/>
  <c r="K28" i="5"/>
  <c r="L28" i="5" s="1"/>
  <c r="M24" i="5"/>
  <c r="N24" i="5" s="1"/>
  <c r="I24" i="5"/>
  <c r="J24" i="5" s="1"/>
  <c r="E24" i="5"/>
  <c r="K24" i="5"/>
  <c r="L24" i="5" s="1"/>
  <c r="M20" i="5"/>
  <c r="N20" i="5" s="1"/>
  <c r="I20" i="5"/>
  <c r="J20" i="5" s="1"/>
  <c r="E20" i="5"/>
  <c r="K20" i="5"/>
  <c r="L20" i="5" s="1"/>
  <c r="M16" i="5"/>
  <c r="N16" i="5" s="1"/>
  <c r="I16" i="5"/>
  <c r="J16" i="5" s="1"/>
  <c r="E16" i="5"/>
  <c r="K16" i="5"/>
  <c r="L16" i="5" s="1"/>
  <c r="M12" i="5"/>
  <c r="N12" i="5" s="1"/>
  <c r="I12" i="5"/>
  <c r="J12" i="5" s="1"/>
  <c r="E12" i="5"/>
  <c r="K12" i="5"/>
  <c r="L12" i="5" s="1"/>
  <c r="M8" i="5"/>
  <c r="N8" i="5" s="1"/>
  <c r="I8" i="5"/>
  <c r="J8" i="5" s="1"/>
  <c r="E8" i="5"/>
  <c r="K8" i="5"/>
  <c r="L8" i="5" s="1"/>
  <c r="M4" i="5"/>
  <c r="N4" i="5" s="1"/>
  <c r="I4" i="5"/>
  <c r="J4" i="5" s="1"/>
  <c r="E4" i="5"/>
  <c r="K4" i="5"/>
  <c r="L4" i="5" s="1"/>
  <c r="M118" i="5"/>
  <c r="N118" i="5" s="1"/>
  <c r="I118" i="5"/>
  <c r="J118" i="5" s="1"/>
  <c r="E118" i="5"/>
  <c r="K118" i="5"/>
  <c r="L118" i="5" s="1"/>
  <c r="M116" i="5"/>
  <c r="N116" i="5" s="1"/>
  <c r="I116" i="5"/>
  <c r="J116" i="5" s="1"/>
  <c r="E116" i="5"/>
  <c r="K116" i="5"/>
  <c r="L116" i="5" s="1"/>
  <c r="M114" i="5"/>
  <c r="N114" i="5" s="1"/>
  <c r="I114" i="5"/>
  <c r="J114" i="5" s="1"/>
  <c r="E114" i="5"/>
  <c r="K114" i="5"/>
  <c r="L114" i="5" s="1"/>
  <c r="M112" i="5"/>
  <c r="N112" i="5" s="1"/>
  <c r="I112" i="5"/>
  <c r="J112" i="5" s="1"/>
  <c r="E112" i="5"/>
  <c r="K112" i="5"/>
  <c r="L112" i="5" s="1"/>
  <c r="M110" i="5"/>
  <c r="N110" i="5" s="1"/>
  <c r="I110" i="5"/>
  <c r="J110" i="5" s="1"/>
  <c r="E110" i="5"/>
  <c r="K110" i="5"/>
  <c r="L110" i="5" s="1"/>
  <c r="M108" i="5"/>
  <c r="N108" i="5" s="1"/>
  <c r="I108" i="5"/>
  <c r="J108" i="5" s="1"/>
  <c r="E108" i="5"/>
  <c r="K108" i="5"/>
  <c r="L108" i="5" s="1"/>
  <c r="M106" i="5"/>
  <c r="N106" i="5" s="1"/>
  <c r="I106" i="5"/>
  <c r="J106" i="5" s="1"/>
  <c r="E106" i="5"/>
  <c r="K106" i="5"/>
  <c r="L106" i="5" s="1"/>
  <c r="M104" i="5"/>
  <c r="N104" i="5" s="1"/>
  <c r="I104" i="5"/>
  <c r="J104" i="5" s="1"/>
  <c r="E104" i="5"/>
  <c r="K104" i="5"/>
  <c r="L104" i="5" s="1"/>
  <c r="M102" i="5"/>
  <c r="N102" i="5" s="1"/>
  <c r="I102" i="5"/>
  <c r="J102" i="5" s="1"/>
  <c r="E102" i="5"/>
  <c r="K102" i="5"/>
  <c r="L102" i="5" s="1"/>
  <c r="M96" i="5"/>
  <c r="N96" i="5" s="1"/>
  <c r="I96" i="5"/>
  <c r="J96" i="5" s="1"/>
  <c r="E96" i="5"/>
  <c r="K96" i="5"/>
  <c r="L96" i="5" s="1"/>
  <c r="M80" i="5"/>
  <c r="N80" i="5" s="1"/>
  <c r="I80" i="5"/>
  <c r="J80" i="5" s="1"/>
  <c r="E80" i="5"/>
  <c r="K80" i="5"/>
  <c r="L80" i="5" s="1"/>
  <c r="K93" i="5"/>
  <c r="L93" i="5" s="1"/>
  <c r="M93" i="5"/>
  <c r="N93" i="5" s="1"/>
  <c r="I93" i="5"/>
  <c r="J93" i="5" s="1"/>
  <c r="E93" i="5"/>
  <c r="K73" i="5"/>
  <c r="L73" i="5" s="1"/>
  <c r="M73" i="5"/>
  <c r="N73" i="5" s="1"/>
  <c r="I73" i="5"/>
  <c r="J73" i="5" s="1"/>
  <c r="E73" i="5"/>
  <c r="K61" i="5"/>
  <c r="L61" i="5" s="1"/>
  <c r="M61" i="5"/>
  <c r="N61" i="5" s="1"/>
  <c r="I61" i="5"/>
  <c r="J61" i="5" s="1"/>
  <c r="E61" i="5"/>
  <c r="K49" i="5"/>
  <c r="L49" i="5" s="1"/>
  <c r="M49" i="5"/>
  <c r="N49" i="5" s="1"/>
  <c r="I49" i="5"/>
  <c r="J49" i="5" s="1"/>
  <c r="E49" i="5"/>
  <c r="K41" i="5"/>
  <c r="L41" i="5" s="1"/>
  <c r="M41" i="5"/>
  <c r="N41" i="5" s="1"/>
  <c r="I41" i="5"/>
  <c r="J41" i="5" s="1"/>
  <c r="E41" i="5"/>
  <c r="K37" i="5"/>
  <c r="L37" i="5" s="1"/>
  <c r="M37" i="5"/>
  <c r="N37" i="5" s="1"/>
  <c r="I37" i="5"/>
  <c r="J37" i="5" s="1"/>
  <c r="E37" i="5"/>
  <c r="K33" i="5"/>
  <c r="L33" i="5" s="1"/>
  <c r="M33" i="5"/>
  <c r="N33" i="5" s="1"/>
  <c r="I33" i="5"/>
  <c r="J33" i="5" s="1"/>
  <c r="E33" i="5"/>
  <c r="K29" i="5"/>
  <c r="L29" i="5" s="1"/>
  <c r="M29" i="5"/>
  <c r="N29" i="5" s="1"/>
  <c r="I29" i="5"/>
  <c r="J29" i="5" s="1"/>
  <c r="E29" i="5"/>
  <c r="K25" i="5"/>
  <c r="L25" i="5" s="1"/>
  <c r="M25" i="5"/>
  <c r="N25" i="5" s="1"/>
  <c r="I25" i="5"/>
  <c r="J25" i="5" s="1"/>
  <c r="E25" i="5"/>
  <c r="K21" i="5"/>
  <c r="L21" i="5" s="1"/>
  <c r="M21" i="5"/>
  <c r="N21" i="5" s="1"/>
  <c r="I21" i="5"/>
  <c r="J21" i="5" s="1"/>
  <c r="E21" i="5"/>
  <c r="K17" i="5"/>
  <c r="L17" i="5" s="1"/>
  <c r="M17" i="5"/>
  <c r="N17" i="5" s="1"/>
  <c r="I17" i="5"/>
  <c r="J17" i="5" s="1"/>
  <c r="E17" i="5"/>
  <c r="K13" i="5"/>
  <c r="L13" i="5" s="1"/>
  <c r="M13" i="5"/>
  <c r="N13" i="5" s="1"/>
  <c r="I13" i="5"/>
  <c r="J13" i="5" s="1"/>
  <c r="E13" i="5"/>
  <c r="K9" i="5"/>
  <c r="L9" i="5" s="1"/>
  <c r="M9" i="5"/>
  <c r="N9" i="5" s="1"/>
  <c r="I9" i="5"/>
  <c r="J9" i="5" s="1"/>
  <c r="E9" i="5"/>
  <c r="K5" i="5"/>
  <c r="L5" i="5" s="1"/>
  <c r="M5" i="5"/>
  <c r="N5" i="5" s="1"/>
  <c r="I5" i="5"/>
  <c r="J5" i="5" s="1"/>
  <c r="E5" i="5"/>
  <c r="M100" i="5"/>
  <c r="N100" i="5" s="1"/>
  <c r="I100" i="5"/>
  <c r="J100" i="5" s="1"/>
  <c r="E100" i="5"/>
  <c r="K100" i="5"/>
  <c r="L100" i="5" s="1"/>
  <c r="M84" i="5"/>
  <c r="N84" i="5" s="1"/>
  <c r="I84" i="5"/>
  <c r="J84" i="5" s="1"/>
  <c r="E84" i="5"/>
  <c r="K84" i="5"/>
  <c r="L84" i="5" s="1"/>
  <c r="M68" i="5"/>
  <c r="N68" i="5" s="1"/>
  <c r="I68" i="5"/>
  <c r="J68" i="5" s="1"/>
  <c r="E68" i="5"/>
  <c r="K68" i="5"/>
  <c r="L68" i="5" s="1"/>
  <c r="K97" i="5"/>
  <c r="L97" i="5" s="1"/>
  <c r="M97" i="5"/>
  <c r="N97" i="5" s="1"/>
  <c r="I97" i="5"/>
  <c r="J97" i="5" s="1"/>
  <c r="E97" i="5"/>
  <c r="K85" i="5"/>
  <c r="L85" i="5" s="1"/>
  <c r="M85" i="5"/>
  <c r="N85" i="5" s="1"/>
  <c r="I85" i="5"/>
  <c r="J85" i="5" s="1"/>
  <c r="E85" i="5"/>
  <c r="K77" i="5"/>
  <c r="L77" i="5" s="1"/>
  <c r="M77" i="5"/>
  <c r="N77" i="5" s="1"/>
  <c r="I77" i="5"/>
  <c r="J77" i="5" s="1"/>
  <c r="E77" i="5"/>
  <c r="K69" i="5"/>
  <c r="L69" i="5" s="1"/>
  <c r="M69" i="5"/>
  <c r="N69" i="5" s="1"/>
  <c r="I69" i="5"/>
  <c r="J69" i="5" s="1"/>
  <c r="E69" i="5"/>
  <c r="K57" i="5"/>
  <c r="L57" i="5" s="1"/>
  <c r="M57" i="5"/>
  <c r="N57" i="5" s="1"/>
  <c r="I57" i="5"/>
  <c r="J57" i="5" s="1"/>
  <c r="E57" i="5"/>
  <c r="K45" i="5"/>
  <c r="L45" i="5" s="1"/>
  <c r="M45" i="5"/>
  <c r="N45" i="5" s="1"/>
  <c r="I45" i="5"/>
  <c r="J45" i="5" s="1"/>
  <c r="E45" i="5"/>
  <c r="M90" i="5"/>
  <c r="N90" i="5" s="1"/>
  <c r="I90" i="5"/>
  <c r="J90" i="5" s="1"/>
  <c r="E90" i="5"/>
  <c r="K90" i="5"/>
  <c r="L90" i="5" s="1"/>
  <c r="M82" i="5"/>
  <c r="N82" i="5" s="1"/>
  <c r="I82" i="5"/>
  <c r="J82" i="5" s="1"/>
  <c r="E82" i="5"/>
  <c r="K82" i="5"/>
  <c r="L82" i="5" s="1"/>
  <c r="M74" i="5"/>
  <c r="N74" i="5" s="1"/>
  <c r="I74" i="5"/>
  <c r="J74" i="5" s="1"/>
  <c r="E74" i="5"/>
  <c r="K74" i="5"/>
  <c r="L74" i="5" s="1"/>
  <c r="M66" i="5"/>
  <c r="N66" i="5" s="1"/>
  <c r="I66" i="5"/>
  <c r="J66" i="5" s="1"/>
  <c r="E66" i="5"/>
  <c r="K66" i="5"/>
  <c r="L66" i="5" s="1"/>
  <c r="M58" i="5"/>
  <c r="N58" i="5" s="1"/>
  <c r="I58" i="5"/>
  <c r="J58" i="5" s="1"/>
  <c r="E58" i="5"/>
  <c r="K58" i="5"/>
  <c r="L58" i="5" s="1"/>
  <c r="M54" i="5"/>
  <c r="N54" i="5" s="1"/>
  <c r="I54" i="5"/>
  <c r="J54" i="5" s="1"/>
  <c r="E54" i="5"/>
  <c r="K54" i="5"/>
  <c r="L54" i="5" s="1"/>
  <c r="M50" i="5"/>
  <c r="N50" i="5" s="1"/>
  <c r="I50" i="5"/>
  <c r="J50" i="5" s="1"/>
  <c r="E50" i="5"/>
  <c r="K50" i="5"/>
  <c r="L50" i="5" s="1"/>
  <c r="M46" i="5"/>
  <c r="N46" i="5" s="1"/>
  <c r="I46" i="5"/>
  <c r="J46" i="5" s="1"/>
  <c r="E46" i="5"/>
  <c r="K46" i="5"/>
  <c r="L46" i="5" s="1"/>
  <c r="M42" i="5"/>
  <c r="N42" i="5" s="1"/>
  <c r="I42" i="5"/>
  <c r="J42" i="5" s="1"/>
  <c r="E42" i="5"/>
  <c r="K42" i="5"/>
  <c r="L42" i="5" s="1"/>
  <c r="M38" i="5"/>
  <c r="N38" i="5" s="1"/>
  <c r="I38" i="5"/>
  <c r="J38" i="5" s="1"/>
  <c r="E38" i="5"/>
  <c r="K38" i="5"/>
  <c r="L38" i="5" s="1"/>
  <c r="M34" i="5"/>
  <c r="N34" i="5" s="1"/>
  <c r="I34" i="5"/>
  <c r="J34" i="5" s="1"/>
  <c r="E34" i="5"/>
  <c r="K34" i="5"/>
  <c r="L34" i="5" s="1"/>
  <c r="M30" i="5"/>
  <c r="N30" i="5" s="1"/>
  <c r="I30" i="5"/>
  <c r="J30" i="5" s="1"/>
  <c r="E30" i="5"/>
  <c r="K30" i="5"/>
  <c r="L30" i="5" s="1"/>
  <c r="M26" i="5"/>
  <c r="N26" i="5" s="1"/>
  <c r="I26" i="5"/>
  <c r="J26" i="5" s="1"/>
  <c r="E26" i="5"/>
  <c r="K26" i="5"/>
  <c r="L26" i="5" s="1"/>
  <c r="M22" i="5"/>
  <c r="N22" i="5" s="1"/>
  <c r="I22" i="5"/>
  <c r="J22" i="5" s="1"/>
  <c r="E22" i="5"/>
  <c r="K22" i="5"/>
  <c r="L22" i="5" s="1"/>
  <c r="M18" i="5"/>
  <c r="N18" i="5" s="1"/>
  <c r="I18" i="5"/>
  <c r="J18" i="5" s="1"/>
  <c r="E18" i="5"/>
  <c r="K18" i="5"/>
  <c r="L18" i="5" s="1"/>
  <c r="M14" i="5"/>
  <c r="N14" i="5" s="1"/>
  <c r="I14" i="5"/>
  <c r="J14" i="5" s="1"/>
  <c r="E14" i="5"/>
  <c r="K14" i="5"/>
  <c r="L14" i="5" s="1"/>
  <c r="M10" i="5"/>
  <c r="N10" i="5" s="1"/>
  <c r="I10" i="5"/>
  <c r="J10" i="5" s="1"/>
  <c r="E10" i="5"/>
  <c r="K10" i="5"/>
  <c r="L10" i="5" s="1"/>
  <c r="M6" i="5"/>
  <c r="N6" i="5" s="1"/>
  <c r="I6" i="5"/>
  <c r="J6" i="5" s="1"/>
  <c r="E6" i="5"/>
  <c r="K6" i="5"/>
  <c r="L6" i="5" s="1"/>
  <c r="I2" i="5"/>
  <c r="M2" i="5"/>
  <c r="E2" i="5"/>
  <c r="K2" i="5"/>
  <c r="K117" i="5"/>
  <c r="L117" i="5" s="1"/>
  <c r="M117" i="5"/>
  <c r="N117" i="5" s="1"/>
  <c r="I117" i="5"/>
  <c r="J117" i="5" s="1"/>
  <c r="E117" i="5"/>
  <c r="E115" i="5"/>
  <c r="M115" i="5"/>
  <c r="N115" i="5" s="1"/>
  <c r="I115" i="5"/>
  <c r="J115" i="5" s="1"/>
  <c r="K115" i="5"/>
  <c r="L115" i="5" s="1"/>
  <c r="K113" i="5"/>
  <c r="L113" i="5" s="1"/>
  <c r="M113" i="5"/>
  <c r="N113" i="5" s="1"/>
  <c r="I113" i="5"/>
  <c r="J113" i="5" s="1"/>
  <c r="E113" i="5"/>
  <c r="E111" i="5"/>
  <c r="M111" i="5"/>
  <c r="N111" i="5" s="1"/>
  <c r="I111" i="5"/>
  <c r="J111" i="5" s="1"/>
  <c r="K111" i="5"/>
  <c r="L111" i="5" s="1"/>
  <c r="K109" i="5"/>
  <c r="L109" i="5" s="1"/>
  <c r="M109" i="5"/>
  <c r="N109" i="5" s="1"/>
  <c r="I109" i="5"/>
  <c r="J109" i="5" s="1"/>
  <c r="E109" i="5"/>
  <c r="M107" i="5"/>
  <c r="N107" i="5" s="1"/>
  <c r="I107" i="5"/>
  <c r="J107" i="5" s="1"/>
  <c r="K107" i="5"/>
  <c r="L107" i="5" s="1"/>
  <c r="E107" i="5"/>
  <c r="K105" i="5"/>
  <c r="L105" i="5" s="1"/>
  <c r="M105" i="5"/>
  <c r="N105" i="5" s="1"/>
  <c r="I105" i="5"/>
  <c r="J105" i="5" s="1"/>
  <c r="E105" i="5"/>
  <c r="M103" i="5"/>
  <c r="N103" i="5" s="1"/>
  <c r="I103" i="5"/>
  <c r="J103" i="5" s="1"/>
  <c r="E103" i="5"/>
  <c r="K103" i="5"/>
  <c r="L103" i="5" s="1"/>
  <c r="M88" i="5"/>
  <c r="N88" i="5" s="1"/>
  <c r="I88" i="5"/>
  <c r="J88" i="5" s="1"/>
  <c r="E88" i="5"/>
  <c r="K88" i="5"/>
  <c r="L88" i="5" s="1"/>
  <c r="M72" i="5"/>
  <c r="N72" i="5" s="1"/>
  <c r="I72" i="5"/>
  <c r="J72" i="5" s="1"/>
  <c r="E72" i="5"/>
  <c r="K72" i="5"/>
  <c r="L72" i="5" s="1"/>
  <c r="K101" i="5"/>
  <c r="L101" i="5" s="1"/>
  <c r="M101" i="5"/>
  <c r="N101" i="5" s="1"/>
  <c r="I101" i="5"/>
  <c r="J101" i="5" s="1"/>
  <c r="E101" i="5"/>
  <c r="K89" i="5"/>
  <c r="L89" i="5" s="1"/>
  <c r="M89" i="5"/>
  <c r="N89" i="5" s="1"/>
  <c r="I89" i="5"/>
  <c r="J89" i="5" s="1"/>
  <c r="E89" i="5"/>
  <c r="K81" i="5"/>
  <c r="L81" i="5" s="1"/>
  <c r="M81" i="5"/>
  <c r="N81" i="5" s="1"/>
  <c r="I81" i="5"/>
  <c r="J81" i="5" s="1"/>
  <c r="E81" i="5"/>
  <c r="K65" i="5"/>
  <c r="L65" i="5" s="1"/>
  <c r="M65" i="5"/>
  <c r="N65" i="5" s="1"/>
  <c r="I65" i="5"/>
  <c r="J65" i="5" s="1"/>
  <c r="E65" i="5"/>
  <c r="K53" i="5"/>
  <c r="L53" i="5" s="1"/>
  <c r="M53" i="5"/>
  <c r="N53" i="5" s="1"/>
  <c r="I53" i="5"/>
  <c r="J53" i="5" s="1"/>
  <c r="E53" i="5"/>
  <c r="M98" i="5"/>
  <c r="N98" i="5" s="1"/>
  <c r="I98" i="5"/>
  <c r="J98" i="5" s="1"/>
  <c r="E98" i="5"/>
  <c r="K98" i="5"/>
  <c r="L98" i="5" s="1"/>
  <c r="M94" i="5"/>
  <c r="N94" i="5" s="1"/>
  <c r="I94" i="5"/>
  <c r="J94" i="5" s="1"/>
  <c r="E94" i="5"/>
  <c r="K94" i="5"/>
  <c r="L94" i="5" s="1"/>
  <c r="M86" i="5"/>
  <c r="N86" i="5" s="1"/>
  <c r="I86" i="5"/>
  <c r="J86" i="5" s="1"/>
  <c r="E86" i="5"/>
  <c r="K86" i="5"/>
  <c r="L86" i="5" s="1"/>
  <c r="M78" i="5"/>
  <c r="N78" i="5" s="1"/>
  <c r="I78" i="5"/>
  <c r="J78" i="5" s="1"/>
  <c r="E78" i="5"/>
  <c r="K78" i="5"/>
  <c r="L78" i="5" s="1"/>
  <c r="M70" i="5"/>
  <c r="N70" i="5" s="1"/>
  <c r="I70" i="5"/>
  <c r="J70" i="5" s="1"/>
  <c r="E70" i="5"/>
  <c r="K70" i="5"/>
  <c r="L70" i="5" s="1"/>
  <c r="M62" i="5"/>
  <c r="N62" i="5" s="1"/>
  <c r="I62" i="5"/>
  <c r="J62" i="5" s="1"/>
  <c r="E62" i="5"/>
  <c r="K62" i="5"/>
  <c r="L62" i="5" s="1"/>
  <c r="I99" i="5"/>
  <c r="J99" i="5" s="1"/>
  <c r="E99" i="5"/>
  <c r="M99" i="5"/>
  <c r="N99" i="5" s="1"/>
  <c r="K99" i="5"/>
  <c r="L99" i="5" s="1"/>
  <c r="E95" i="5"/>
  <c r="M95" i="5"/>
  <c r="N95" i="5" s="1"/>
  <c r="I95" i="5"/>
  <c r="J95" i="5" s="1"/>
  <c r="K95" i="5"/>
  <c r="L95" i="5" s="1"/>
  <c r="M91" i="5"/>
  <c r="N91" i="5" s="1"/>
  <c r="I91" i="5"/>
  <c r="J91" i="5" s="1"/>
  <c r="E91" i="5"/>
  <c r="K91" i="5"/>
  <c r="L91" i="5" s="1"/>
  <c r="E87" i="5"/>
  <c r="M87" i="5"/>
  <c r="N87" i="5" s="1"/>
  <c r="I87" i="5"/>
  <c r="J87" i="5" s="1"/>
  <c r="K87" i="5"/>
  <c r="L87" i="5" s="1"/>
  <c r="E83" i="5"/>
  <c r="M83" i="5"/>
  <c r="N83" i="5" s="1"/>
  <c r="I83" i="5"/>
  <c r="J83" i="5" s="1"/>
  <c r="K83" i="5"/>
  <c r="L83" i="5" s="1"/>
  <c r="E79" i="5"/>
  <c r="M79" i="5"/>
  <c r="N79" i="5" s="1"/>
  <c r="I79" i="5"/>
  <c r="J79" i="5" s="1"/>
  <c r="K79" i="5"/>
  <c r="L79" i="5" s="1"/>
  <c r="M75" i="5"/>
  <c r="N75" i="5" s="1"/>
  <c r="I75" i="5"/>
  <c r="J75" i="5" s="1"/>
  <c r="E75" i="5"/>
  <c r="K75" i="5"/>
  <c r="L75" i="5" s="1"/>
  <c r="E71" i="5"/>
  <c r="M71" i="5"/>
  <c r="N71" i="5" s="1"/>
  <c r="I71" i="5"/>
  <c r="J71" i="5" s="1"/>
  <c r="K71" i="5"/>
  <c r="L71" i="5" s="1"/>
  <c r="E67" i="5"/>
  <c r="M67" i="5"/>
  <c r="N67" i="5" s="1"/>
  <c r="I67" i="5"/>
  <c r="J67" i="5" s="1"/>
  <c r="K67" i="5"/>
  <c r="L67" i="5" s="1"/>
  <c r="M63" i="5"/>
  <c r="N63" i="5" s="1"/>
  <c r="I63" i="5"/>
  <c r="J63" i="5" s="1"/>
  <c r="E63" i="5"/>
  <c r="K63" i="5"/>
  <c r="L63" i="5" s="1"/>
  <c r="E59" i="5"/>
  <c r="M59" i="5"/>
  <c r="N59" i="5" s="1"/>
  <c r="I59" i="5"/>
  <c r="J59" i="5" s="1"/>
  <c r="K59" i="5"/>
  <c r="L59" i="5" s="1"/>
  <c r="M55" i="5"/>
  <c r="N55" i="5" s="1"/>
  <c r="I55" i="5"/>
  <c r="J55" i="5" s="1"/>
  <c r="E55" i="5"/>
  <c r="K55" i="5"/>
  <c r="L55" i="5" s="1"/>
  <c r="E51" i="5"/>
  <c r="M51" i="5"/>
  <c r="N51" i="5" s="1"/>
  <c r="I51" i="5"/>
  <c r="J51" i="5" s="1"/>
  <c r="K51" i="5"/>
  <c r="L51" i="5" s="1"/>
  <c r="M47" i="5"/>
  <c r="N47" i="5" s="1"/>
  <c r="I47" i="5"/>
  <c r="J47" i="5" s="1"/>
  <c r="E47" i="5"/>
  <c r="K47" i="5"/>
  <c r="L47" i="5" s="1"/>
  <c r="M43" i="5"/>
  <c r="N43" i="5" s="1"/>
  <c r="I43" i="5"/>
  <c r="J43" i="5" s="1"/>
  <c r="E43" i="5"/>
  <c r="K43" i="5"/>
  <c r="L43" i="5" s="1"/>
  <c r="M39" i="5"/>
  <c r="N39" i="5" s="1"/>
  <c r="I39" i="5"/>
  <c r="J39" i="5" s="1"/>
  <c r="E39" i="5"/>
  <c r="K39" i="5"/>
  <c r="L39" i="5" s="1"/>
  <c r="M35" i="5"/>
  <c r="N35" i="5" s="1"/>
  <c r="I35" i="5"/>
  <c r="J35" i="5" s="1"/>
  <c r="E35" i="5"/>
  <c r="K35" i="5"/>
  <c r="L35" i="5" s="1"/>
  <c r="M31" i="5"/>
  <c r="N31" i="5" s="1"/>
  <c r="I31" i="5"/>
  <c r="J31" i="5" s="1"/>
  <c r="E31" i="5"/>
  <c r="K31" i="5"/>
  <c r="L31" i="5" s="1"/>
  <c r="M27" i="5"/>
  <c r="N27" i="5" s="1"/>
  <c r="I27" i="5"/>
  <c r="J27" i="5" s="1"/>
  <c r="E27" i="5"/>
  <c r="K27" i="5"/>
  <c r="L27" i="5" s="1"/>
  <c r="M23" i="5"/>
  <c r="N23" i="5" s="1"/>
  <c r="I23" i="5"/>
  <c r="J23" i="5" s="1"/>
  <c r="E23" i="5"/>
  <c r="K23" i="5"/>
  <c r="L23" i="5" s="1"/>
  <c r="M19" i="5"/>
  <c r="N19" i="5" s="1"/>
  <c r="I19" i="5"/>
  <c r="J19" i="5" s="1"/>
  <c r="E19" i="5"/>
  <c r="K19" i="5"/>
  <c r="L19" i="5" s="1"/>
  <c r="M15" i="5"/>
  <c r="N15" i="5" s="1"/>
  <c r="I15" i="5"/>
  <c r="J15" i="5" s="1"/>
  <c r="E15" i="5"/>
  <c r="K15" i="5"/>
  <c r="L15" i="5" s="1"/>
  <c r="M11" i="5"/>
  <c r="N11" i="5" s="1"/>
  <c r="I11" i="5"/>
  <c r="J11" i="5" s="1"/>
  <c r="E11" i="5"/>
  <c r="K11" i="5"/>
  <c r="L11" i="5" s="1"/>
  <c r="M7" i="5"/>
  <c r="N7" i="5" s="1"/>
  <c r="I7" i="5"/>
  <c r="J7" i="5" s="1"/>
  <c r="E7" i="5"/>
  <c r="K7" i="5"/>
  <c r="L7" i="5" s="1"/>
  <c r="M3" i="5"/>
  <c r="N3" i="5" s="1"/>
  <c r="I3" i="5"/>
  <c r="J3" i="5" s="1"/>
  <c r="E3" i="5"/>
  <c r="K3" i="5"/>
  <c r="L3" i="5" s="1"/>
  <c r="E119" i="6"/>
  <c r="F119" i="6"/>
  <c r="D119" i="6"/>
  <c r="C119" i="6"/>
  <c r="F119" i="5"/>
  <c r="S6" i="5" s="1"/>
  <c r="D119" i="5"/>
  <c r="S3" i="5" s="1"/>
  <c r="K10" i="6"/>
  <c r="Q38" i="5" l="1"/>
  <c r="D4" i="10" s="1"/>
  <c r="Q37" i="5"/>
  <c r="D4" i="8" s="1"/>
  <c r="J2" i="5"/>
  <c r="J119" i="5" s="1"/>
  <c r="Q36" i="5"/>
  <c r="D4" i="7" s="1"/>
  <c r="M119" i="5"/>
  <c r="N2" i="5"/>
  <c r="N119" i="5" s="1"/>
  <c r="I119" i="5"/>
  <c r="E119" i="5"/>
  <c r="C4" i="9" s="1"/>
  <c r="L2" i="5"/>
  <c r="L119" i="5" s="1"/>
  <c r="K119" i="5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E10" i="3"/>
  <c r="E11" i="3" s="1"/>
  <c r="C119" i="2" l="1"/>
  <c r="E119" i="2"/>
  <c r="I2" i="2"/>
  <c r="I119" i="2" s="1"/>
  <c r="H119" i="2"/>
  <c r="T19" i="2"/>
  <c r="P20" i="2"/>
  <c r="T39" i="2"/>
  <c r="T38" i="2"/>
  <c r="T37" i="2"/>
  <c r="T36" i="2"/>
  <c r="T35" i="2"/>
  <c r="T34" i="2" l="1"/>
  <c r="T33" i="2"/>
</calcChain>
</file>

<file path=xl/sharedStrings.xml><?xml version="1.0" encoding="utf-8"?>
<sst xmlns="http://schemas.openxmlformats.org/spreadsheetml/2006/main" count="189" uniqueCount="91">
  <si>
    <t>Diametro micras</t>
  </si>
  <si>
    <t>Coulter Datos</t>
  </si>
  <si>
    <t>Error ^2</t>
  </si>
  <si>
    <t>Error^2</t>
  </si>
  <si>
    <t>Datos estimados Weibull</t>
  </si>
  <si>
    <t>a1</t>
  </si>
  <si>
    <t>b1</t>
  </si>
  <si>
    <t>a2</t>
  </si>
  <si>
    <t>b2</t>
  </si>
  <si>
    <t>a3</t>
  </si>
  <si>
    <t>b3</t>
  </si>
  <si>
    <t>a4</t>
  </si>
  <si>
    <t>b4</t>
  </si>
  <si>
    <t>a5</t>
  </si>
  <si>
    <t>b5</t>
  </si>
  <si>
    <t>Instrucciones:</t>
  </si>
  <si>
    <t>ERROR</t>
  </si>
  <si>
    <t>nº Distribuciones</t>
  </si>
  <si>
    <t>c1</t>
  </si>
  <si>
    <t>c2</t>
  </si>
  <si>
    <t>c3</t>
  </si>
  <si>
    <t>c4</t>
  </si>
  <si>
    <t>c5</t>
  </si>
  <si>
    <t>Porcentaje Total</t>
  </si>
  <si>
    <t>Dos Distribuciones</t>
  </si>
  <si>
    <t>% 1dis</t>
  </si>
  <si>
    <t>% 2dis</t>
  </si>
  <si>
    <t>%</t>
  </si>
  <si>
    <t>Weibull 1</t>
  </si>
  <si>
    <t>Weibull 2</t>
  </si>
  <si>
    <t>A</t>
  </si>
  <si>
    <t>B</t>
  </si>
  <si>
    <t>Normal</t>
  </si>
  <si>
    <t>A2</t>
  </si>
  <si>
    <t>B2</t>
  </si>
  <si>
    <t>Normal Bimodal</t>
  </si>
  <si>
    <t>F</t>
  </si>
  <si>
    <t>Normal1</t>
  </si>
  <si>
    <t>Normal2</t>
  </si>
  <si>
    <t>F2</t>
  </si>
  <si>
    <t>Moda</t>
  </si>
  <si>
    <t>Combinadal Bimodal</t>
  </si>
  <si>
    <t>Weibull</t>
  </si>
  <si>
    <t>Error</t>
  </si>
  <si>
    <t>Coulter Data</t>
  </si>
  <si>
    <t>Modas</t>
  </si>
  <si>
    <t>Error Cuadrático</t>
  </si>
  <si>
    <t>Combinada</t>
  </si>
  <si>
    <t>Moda 1</t>
  </si>
  <si>
    <t>Moda 2</t>
  </si>
  <si>
    <t>Diámetro</t>
  </si>
  <si>
    <t>ANÁLISIS PARA CURVAS GRANULOMÉTRICAS DE DIFRACCIÓN LÁSER</t>
  </si>
  <si>
    <t xml:space="preserve">Introduzca los datos en la columna C. </t>
  </si>
  <si>
    <t>Pulse el botón según las modas que tiene  su distribución.</t>
  </si>
  <si>
    <t>En caso de valores anómalos o con altos errores se recomienda repetir el análisis.</t>
  </si>
  <si>
    <t>Calculando Distribución Weibull</t>
  </si>
  <si>
    <t>Calculando Distribución Normal</t>
  </si>
  <si>
    <t>Calculando Distribución Combinada</t>
  </si>
  <si>
    <t>F1</t>
  </si>
  <si>
    <t>A1</t>
  </si>
  <si>
    <t>B1</t>
  </si>
  <si>
    <t>F3</t>
  </si>
  <si>
    <t>A3</t>
  </si>
  <si>
    <t>B3</t>
  </si>
  <si>
    <t>F4</t>
  </si>
  <si>
    <t>A4</t>
  </si>
  <si>
    <t>B4</t>
  </si>
  <si>
    <t>Normal3</t>
  </si>
  <si>
    <t>Normal4</t>
  </si>
  <si>
    <t>Trimodal</t>
  </si>
  <si>
    <t>Cuatrimodal</t>
  </si>
  <si>
    <t>Moda 3</t>
  </si>
  <si>
    <t>Moda 4</t>
  </si>
  <si>
    <t>Bimodal</t>
  </si>
  <si>
    <t>Weibull 3</t>
  </si>
  <si>
    <t>Weibull 4</t>
  </si>
  <si>
    <t>bimodal</t>
  </si>
  <si>
    <t>Para Evitar error del valor 0</t>
  </si>
  <si>
    <t>Para evitar el error del valor 0</t>
  </si>
  <si>
    <t>Very Coarse</t>
  </si>
  <si>
    <t>Silt</t>
  </si>
  <si>
    <t>Coarse</t>
  </si>
  <si>
    <t>Medium</t>
  </si>
  <si>
    <t>Fine</t>
  </si>
  <si>
    <t>Very Fine</t>
  </si>
  <si>
    <t>Clay</t>
  </si>
  <si>
    <t>Valores R de Pearson</t>
  </si>
  <si>
    <t>Unimodal</t>
  </si>
  <si>
    <t>R - Pearson</t>
  </si>
  <si>
    <t>Por Isidoro Campaña Lozano</t>
  </si>
  <si>
    <t>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</si>
</sst>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4" fillId="16" borderId="0" applyNumberFormat="0" applyBorder="0" applyAlignment="0" applyProtection="0"/>
  </cellStyleXfs>
  <cellXfs count="185">
    <xf numFmtId="0" fontId="0" fillId="0" borderId="0" xfId="0"/>
    <xf numFmtId="0" fontId="1" fillId="2" borderId="0" xfId="1"/>
    <xf numFmtId="0" fontId="1" fillId="3" borderId="0" xfId="2"/>
    <xf numFmtId="0" fontId="0" fillId="0" borderId="0" xfId="0" applyNumberFormat="1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3" fillId="0" borderId="1" xfId="0" applyFont="1" applyBorder="1"/>
    <xf numFmtId="0" fontId="2" fillId="0" borderId="0" xfId="0" applyFont="1"/>
    <xf numFmtId="9" fontId="0" fillId="0" borderId="2" xfId="0" applyNumberFormat="1" applyBorder="1"/>
    <xf numFmtId="0" fontId="0" fillId="0" borderId="3" xfId="0" applyBorder="1"/>
    <xf numFmtId="0" fontId="0" fillId="7" borderId="4" xfId="0" applyFill="1" applyBorder="1"/>
    <xf numFmtId="0" fontId="0" fillId="6" borderId="5" xfId="0" applyFill="1" applyBorder="1"/>
    <xf numFmtId="0" fontId="0" fillId="7" borderId="6" xfId="0" applyFill="1" applyBorder="1"/>
    <xf numFmtId="0" fontId="0" fillId="6" borderId="7" xfId="0" applyFill="1" applyBorder="1"/>
    <xf numFmtId="0" fontId="0" fillId="7" borderId="8" xfId="0" applyFill="1" applyBorder="1"/>
    <xf numFmtId="0" fontId="0" fillId="6" borderId="9" xfId="0" applyFill="1" applyBorder="1"/>
    <xf numFmtId="0" fontId="0" fillId="10" borderId="4" xfId="0" applyFill="1" applyBorder="1"/>
    <xf numFmtId="0" fontId="0" fillId="8" borderId="5" xfId="0" applyFill="1" applyBorder="1"/>
    <xf numFmtId="0" fontId="0" fillId="10" borderId="6" xfId="0" applyFill="1" applyBorder="1"/>
    <xf numFmtId="0" fontId="0" fillId="8" borderId="7" xfId="0" applyFill="1" applyBorder="1"/>
    <xf numFmtId="0" fontId="0" fillId="10" borderId="8" xfId="0" applyFill="1" applyBorder="1"/>
    <xf numFmtId="0" fontId="0" fillId="8" borderId="9" xfId="0" applyFill="1" applyBorder="1"/>
    <xf numFmtId="0" fontId="0" fillId="5" borderId="1" xfId="0" applyFill="1" applyBorder="1"/>
    <xf numFmtId="0" fontId="0" fillId="4" borderId="1" xfId="0" applyFill="1" applyBorder="1"/>
    <xf numFmtId="0" fontId="0" fillId="10" borderId="10" xfId="0" applyFill="1" applyBorder="1"/>
    <xf numFmtId="0" fontId="0" fillId="8" borderId="11" xfId="0" applyFill="1" applyBorder="1"/>
    <xf numFmtId="0" fontId="0" fillId="11" borderId="4" xfId="0" applyFill="1" applyBorder="1"/>
    <xf numFmtId="0" fontId="0" fillId="11" borderId="6" xfId="0" applyFill="1" applyBorder="1"/>
    <xf numFmtId="0" fontId="0" fillId="11" borderId="8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9" xfId="0" applyFill="1" applyBorder="1"/>
    <xf numFmtId="0" fontId="0" fillId="11" borderId="10" xfId="0" applyFill="1" applyBorder="1"/>
    <xf numFmtId="0" fontId="0" fillId="9" borderId="11" xfId="0" applyFill="1" applyBorder="1"/>
    <xf numFmtId="0" fontId="0" fillId="12" borderId="4" xfId="0" applyFill="1" applyBorder="1"/>
    <xf numFmtId="0" fontId="0" fillId="12" borderId="6" xfId="0" applyFill="1" applyBorder="1"/>
    <xf numFmtId="0" fontId="0" fillId="12" borderId="8" xfId="0" applyFill="1" applyBorder="1"/>
    <xf numFmtId="0" fontId="0" fillId="13" borderId="5" xfId="0" applyFill="1" applyBorder="1"/>
    <xf numFmtId="0" fontId="0" fillId="13" borderId="7" xfId="0" applyFill="1" applyBorder="1"/>
    <xf numFmtId="0" fontId="0" fillId="13" borderId="9" xfId="0" applyFill="1" applyBorder="1"/>
    <xf numFmtId="0" fontId="0" fillId="12" borderId="10" xfId="0" applyFill="1" applyBorder="1"/>
    <xf numFmtId="0" fontId="0" fillId="13" borderId="11" xfId="0" applyFill="1" applyBorder="1"/>
    <xf numFmtId="0" fontId="0" fillId="14" borderId="4" xfId="0" applyFill="1" applyBorder="1"/>
    <xf numFmtId="0" fontId="0" fillId="14" borderId="6" xfId="0" applyFill="1" applyBorder="1"/>
    <xf numFmtId="0" fontId="0" fillId="14" borderId="8" xfId="0" applyFill="1" applyBorder="1"/>
    <xf numFmtId="0" fontId="0" fillId="15" borderId="5" xfId="0" applyFill="1" applyBorder="1"/>
    <xf numFmtId="0" fontId="0" fillId="15" borderId="7" xfId="0" applyFill="1" applyBorder="1"/>
    <xf numFmtId="0" fontId="0" fillId="15" borderId="9" xfId="0" applyFill="1" applyBorder="1"/>
    <xf numFmtId="0" fontId="0" fillId="11" borderId="2" xfId="0" applyFill="1" applyBorder="1"/>
    <xf numFmtId="0" fontId="0" fillId="11" borderId="12" xfId="0" applyFill="1" applyBorder="1"/>
    <xf numFmtId="0" fontId="0" fillId="11" borderId="3" xfId="0" applyFill="1" applyBorder="1"/>
    <xf numFmtId="0" fontId="0" fillId="12" borderId="2" xfId="0" applyFill="1" applyBorder="1"/>
    <xf numFmtId="0" fontId="0" fillId="12" borderId="12" xfId="0" applyFill="1" applyBorder="1"/>
    <xf numFmtId="0" fontId="0" fillId="12" borderId="3" xfId="0" applyFill="1" applyBorder="1"/>
    <xf numFmtId="0" fontId="0" fillId="14" borderId="2" xfId="0" applyFill="1" applyBorder="1"/>
    <xf numFmtId="0" fontId="0" fillId="14" borderId="12" xfId="0" applyFill="1" applyBorder="1"/>
    <xf numFmtId="0" fontId="0" fillId="14" borderId="3" xfId="0" applyFill="1" applyBorder="1"/>
    <xf numFmtId="0" fontId="0" fillId="0" borderId="13" xfId="0" applyBorder="1"/>
    <xf numFmtId="0" fontId="0" fillId="0" borderId="14" xfId="0" applyBorder="1"/>
    <xf numFmtId="0" fontId="0" fillId="2" borderId="0" xfId="1" applyFont="1"/>
    <xf numFmtId="0" fontId="0" fillId="3" borderId="0" xfId="2" applyFont="1"/>
    <xf numFmtId="0" fontId="0" fillId="18" borderId="0" xfId="0" applyFill="1"/>
    <xf numFmtId="0" fontId="0" fillId="18" borderId="1" xfId="0" applyFill="1" applyBorder="1"/>
    <xf numFmtId="0" fontId="0" fillId="0" borderId="0" xfId="0" applyBorder="1"/>
    <xf numFmtId="0" fontId="0" fillId="0" borderId="16" xfId="0" applyBorder="1"/>
    <xf numFmtId="0" fontId="0" fillId="17" borderId="17" xfId="0" applyFill="1" applyBorder="1"/>
    <xf numFmtId="0" fontId="0" fillId="18" borderId="7" xfId="0" applyFill="1" applyBorder="1"/>
    <xf numFmtId="0" fontId="0" fillId="17" borderId="18" xfId="0" applyFill="1" applyBorder="1"/>
    <xf numFmtId="0" fontId="0" fillId="18" borderId="9" xfId="0" applyFill="1" applyBorder="1"/>
    <xf numFmtId="0" fontId="0" fillId="0" borderId="19" xfId="0" applyBorder="1"/>
    <xf numFmtId="0" fontId="0" fillId="0" borderId="20" xfId="0" applyBorder="1"/>
    <xf numFmtId="0" fontId="0" fillId="18" borderId="15" xfId="0" applyFill="1" applyBorder="1"/>
    <xf numFmtId="0" fontId="0" fillId="18" borderId="16" xfId="0" applyFill="1" applyBorder="1"/>
    <xf numFmtId="0" fontId="0" fillId="18" borderId="17" xfId="0" applyFill="1" applyBorder="1"/>
    <xf numFmtId="0" fontId="0" fillId="18" borderId="19" xfId="0" applyFill="1" applyBorder="1"/>
    <xf numFmtId="0" fontId="0" fillId="18" borderId="18" xfId="0" applyFill="1" applyBorder="1"/>
    <xf numFmtId="0" fontId="0" fillId="18" borderId="20" xfId="0" applyFill="1" applyBorder="1"/>
    <xf numFmtId="0" fontId="0" fillId="17" borderId="15" xfId="0" applyFill="1" applyBorder="1"/>
    <xf numFmtId="0" fontId="0" fillId="7" borderId="0" xfId="0" applyFill="1"/>
    <xf numFmtId="0" fontId="0" fillId="0" borderId="21" xfId="0" applyBorder="1"/>
    <xf numFmtId="0" fontId="0" fillId="21" borderId="9" xfId="0" applyFill="1" applyBorder="1"/>
    <xf numFmtId="0" fontId="0" fillId="0" borderId="0" xfId="0" applyFill="1" applyBorder="1"/>
    <xf numFmtId="0" fontId="2" fillId="0" borderId="0" xfId="0" applyFont="1" applyFill="1" applyBorder="1" applyAlignment="1">
      <alignment horizontal="right"/>
    </xf>
    <xf numFmtId="0" fontId="0" fillId="19" borderId="0" xfId="0" applyFill="1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24" borderId="4" xfId="0" applyFill="1" applyBorder="1"/>
    <xf numFmtId="0" fontId="0" fillId="24" borderId="1" xfId="0" applyFill="1" applyBorder="1"/>
    <xf numFmtId="0" fontId="0" fillId="24" borderId="7" xfId="0" applyFill="1" applyBorder="1"/>
    <xf numFmtId="0" fontId="0" fillId="24" borderId="26" xfId="0" applyFill="1" applyBorder="1"/>
    <xf numFmtId="0" fontId="0" fillId="24" borderId="9" xfId="0" applyFill="1" applyBorder="1"/>
    <xf numFmtId="0" fontId="0" fillId="19" borderId="4" xfId="0" applyFill="1" applyBorder="1"/>
    <xf numFmtId="0" fontId="0" fillId="19" borderId="1" xfId="0" applyFill="1" applyBorder="1"/>
    <xf numFmtId="0" fontId="0" fillId="19" borderId="7" xfId="0" applyFill="1" applyBorder="1"/>
    <xf numFmtId="0" fontId="0" fillId="19" borderId="26" xfId="0" applyFill="1" applyBorder="1"/>
    <xf numFmtId="0" fontId="0" fillId="19" borderId="9" xfId="0" applyFill="1" applyBorder="1"/>
    <xf numFmtId="0" fontId="2" fillId="19" borderId="6" xfId="0" applyFont="1" applyFill="1" applyBorder="1"/>
    <xf numFmtId="0" fontId="2" fillId="19" borderId="8" xfId="0" applyFont="1" applyFill="1" applyBorder="1"/>
    <xf numFmtId="0" fontId="2" fillId="19" borderId="25" xfId="0" applyFont="1" applyFill="1" applyBorder="1"/>
    <xf numFmtId="0" fontId="2" fillId="19" borderId="5" xfId="0" applyFont="1" applyFill="1" applyBorder="1"/>
    <xf numFmtId="0" fontId="2" fillId="25" borderId="0" xfId="0" applyFont="1" applyFill="1" applyBorder="1"/>
    <xf numFmtId="0" fontId="0" fillId="18" borderId="4" xfId="0" applyFill="1" applyBorder="1"/>
    <xf numFmtId="0" fontId="2" fillId="18" borderId="25" xfId="0" applyFont="1" applyFill="1" applyBorder="1"/>
    <xf numFmtId="0" fontId="2" fillId="18" borderId="5" xfId="0" applyFont="1" applyFill="1" applyBorder="1"/>
    <xf numFmtId="0" fontId="2" fillId="18" borderId="6" xfId="0" applyFont="1" applyFill="1" applyBorder="1"/>
    <xf numFmtId="0" fontId="2" fillId="18" borderId="8" xfId="0" applyFont="1" applyFill="1" applyBorder="1"/>
    <xf numFmtId="0" fontId="0" fillId="18" borderId="26" xfId="0" applyFill="1" applyBorder="1"/>
    <xf numFmtId="0" fontId="2" fillId="24" borderId="25" xfId="0" applyFont="1" applyFill="1" applyBorder="1"/>
    <xf numFmtId="0" fontId="2" fillId="24" borderId="5" xfId="0" applyFont="1" applyFill="1" applyBorder="1"/>
    <xf numFmtId="0" fontId="2" fillId="24" borderId="6" xfId="0" applyFont="1" applyFill="1" applyBorder="1"/>
    <xf numFmtId="0" fontId="2" fillId="24" borderId="8" xfId="0" applyFont="1" applyFill="1" applyBorder="1"/>
    <xf numFmtId="0" fontId="2" fillId="20" borderId="0" xfId="0" applyFont="1" applyFill="1" applyBorder="1"/>
    <xf numFmtId="0" fontId="2" fillId="26" borderId="0" xfId="0" applyFont="1" applyFill="1" applyBorder="1"/>
    <xf numFmtId="0" fontId="1" fillId="22" borderId="0" xfId="1" applyFill="1"/>
    <xf numFmtId="0" fontId="1" fillId="22" borderId="0" xfId="2" applyFill="1"/>
    <xf numFmtId="11" fontId="0" fillId="0" borderId="0" xfId="0" applyNumberFormat="1" applyBorder="1"/>
    <xf numFmtId="0" fontId="0" fillId="0" borderId="27" xfId="0" applyBorder="1"/>
    <xf numFmtId="0" fontId="5" fillId="0" borderId="0" xfId="0" applyFont="1"/>
    <xf numFmtId="0" fontId="0" fillId="19" borderId="23" xfId="0" applyFill="1" applyBorder="1"/>
    <xf numFmtId="0" fontId="0" fillId="19" borderId="16" xfId="0" applyFill="1" applyBorder="1"/>
    <xf numFmtId="0" fontId="0" fillId="19" borderId="17" xfId="0" applyFill="1" applyBorder="1"/>
    <xf numFmtId="0" fontId="0" fillId="19" borderId="19" xfId="0" applyFill="1" applyBorder="1"/>
    <xf numFmtId="0" fontId="0" fillId="19" borderId="18" xfId="0" applyFill="1" applyBorder="1"/>
    <xf numFmtId="0" fontId="0" fillId="19" borderId="24" xfId="0" applyFill="1" applyBorder="1"/>
    <xf numFmtId="0" fontId="0" fillId="19" borderId="20" xfId="0" applyFill="1" applyBorder="1"/>
    <xf numFmtId="0" fontId="0" fillId="18" borderId="23" xfId="0" applyFill="1" applyBorder="1"/>
    <xf numFmtId="0" fontId="0" fillId="18" borderId="0" xfId="0" applyFill="1" applyBorder="1"/>
    <xf numFmtId="0" fontId="0" fillId="18" borderId="24" xfId="0" applyFill="1" applyBorder="1"/>
    <xf numFmtId="0" fontId="2" fillId="5" borderId="15" xfId="0" applyFont="1" applyFill="1" applyBorder="1"/>
    <xf numFmtId="0" fontId="0" fillId="5" borderId="23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0" xfId="0" applyFill="1" applyBorder="1"/>
    <xf numFmtId="0" fontId="0" fillId="5" borderId="19" xfId="0" applyFill="1" applyBorder="1"/>
    <xf numFmtId="0" fontId="0" fillId="5" borderId="18" xfId="0" applyFill="1" applyBorder="1"/>
    <xf numFmtId="0" fontId="0" fillId="5" borderId="24" xfId="0" applyFill="1" applyBorder="1"/>
    <xf numFmtId="0" fontId="0" fillId="5" borderId="20" xfId="0" applyFill="1" applyBorder="1"/>
    <xf numFmtId="0" fontId="6" fillId="0" borderId="0" xfId="0" applyFont="1"/>
    <xf numFmtId="0" fontId="0" fillId="27" borderId="15" xfId="0" applyFill="1" applyBorder="1"/>
    <xf numFmtId="0" fontId="0" fillId="27" borderId="23" xfId="0" applyFill="1" applyBorder="1"/>
    <xf numFmtId="0" fontId="0" fillId="27" borderId="16" xfId="0" applyFill="1" applyBorder="1"/>
    <xf numFmtId="0" fontId="0" fillId="27" borderId="17" xfId="0" applyFill="1" applyBorder="1"/>
    <xf numFmtId="0" fontId="7" fillId="27" borderId="0" xfId="0" applyFont="1" applyFill="1" applyBorder="1"/>
    <xf numFmtId="0" fontId="0" fillId="27" borderId="0" xfId="0" applyFill="1" applyBorder="1"/>
    <xf numFmtId="0" fontId="0" fillId="27" borderId="19" xfId="0" applyFill="1" applyBorder="1"/>
    <xf numFmtId="0" fontId="0" fillId="27" borderId="18" xfId="0" applyFill="1" applyBorder="1"/>
    <xf numFmtId="0" fontId="0" fillId="27" borderId="24" xfId="0" applyFill="1" applyBorder="1"/>
    <xf numFmtId="0" fontId="0" fillId="27" borderId="20" xfId="0" applyFill="1" applyBorder="1"/>
    <xf numFmtId="0" fontId="0" fillId="19" borderId="15" xfId="0" applyFill="1" applyBorder="1"/>
    <xf numFmtId="0" fontId="7" fillId="19" borderId="0" xfId="0" applyFont="1" applyFill="1" applyBorder="1"/>
    <xf numFmtId="0" fontId="7" fillId="18" borderId="0" xfId="0" applyFont="1" applyFill="1" applyBorder="1"/>
    <xf numFmtId="0" fontId="2" fillId="23" borderId="1" xfId="0" applyFont="1" applyFill="1" applyBorder="1"/>
    <xf numFmtId="0" fontId="0" fillId="18" borderId="11" xfId="0" applyFill="1" applyBorder="1"/>
    <xf numFmtId="0" fontId="0" fillId="18" borderId="5" xfId="0" applyFill="1" applyBorder="1"/>
    <xf numFmtId="0" fontId="0" fillId="0" borderId="22" xfId="0" applyBorder="1"/>
    <xf numFmtId="0" fontId="1" fillId="0" borderId="0" xfId="1" applyFill="1"/>
    <xf numFmtId="0" fontId="1" fillId="28" borderId="0" xfId="1" applyFill="1"/>
    <xf numFmtId="0" fontId="1" fillId="28" borderId="0" xfId="2" applyFill="1"/>
    <xf numFmtId="0" fontId="0" fillId="2" borderId="28" xfId="1" applyFont="1" applyBorder="1"/>
    <xf numFmtId="0" fontId="1" fillId="2" borderId="28" xfId="1" applyBorder="1"/>
    <xf numFmtId="0" fontId="1" fillId="22" borderId="28" xfId="1" applyFill="1" applyBorder="1"/>
    <xf numFmtId="0" fontId="2" fillId="0" borderId="0" xfId="0" applyFont="1" applyFill="1" applyBorder="1"/>
    <xf numFmtId="0" fontId="8" fillId="17" borderId="15" xfId="3" applyFont="1" applyFill="1" applyBorder="1"/>
    <xf numFmtId="0" fontId="8" fillId="17" borderId="17" xfId="3" applyFont="1" applyFill="1" applyBorder="1"/>
    <xf numFmtId="0" fontId="8" fillId="17" borderId="18" xfId="3" applyFont="1" applyFill="1" applyBorder="1"/>
    <xf numFmtId="0" fontId="0" fillId="29" borderId="0" xfId="0" applyFill="1"/>
    <xf numFmtId="0" fontId="0" fillId="29" borderId="0" xfId="0" applyFill="1" applyBorder="1"/>
    <xf numFmtId="0" fontId="0" fillId="0" borderId="29" xfId="0" applyBorder="1"/>
    <xf numFmtId="0" fontId="0" fillId="0" borderId="15" xfId="0" applyBorder="1"/>
    <xf numFmtId="0" fontId="0" fillId="0" borderId="23" xfId="0" applyBorder="1"/>
    <xf numFmtId="0" fontId="0" fillId="0" borderId="8" xfId="0" applyBorder="1"/>
    <xf numFmtId="0" fontId="0" fillId="0" borderId="26" xfId="0" applyBorder="1"/>
    <xf numFmtId="0" fontId="0" fillId="26" borderId="1" xfId="0" applyFill="1" applyBorder="1"/>
    <xf numFmtId="0" fontId="0" fillId="30" borderId="6" xfId="0" applyFill="1" applyBorder="1"/>
    <xf numFmtId="0" fontId="0" fillId="12" borderId="1" xfId="0" applyFill="1" applyBorder="1"/>
    <xf numFmtId="0" fontId="0" fillId="31" borderId="16" xfId="0" applyFill="1" applyBorder="1"/>
    <xf numFmtId="0" fontId="2" fillId="28" borderId="1" xfId="0" applyFont="1" applyFill="1" applyBorder="1"/>
    <xf numFmtId="0" fontId="0" fillId="21" borderId="30" xfId="0" applyFill="1" applyBorder="1"/>
    <xf numFmtId="0" fontId="0" fillId="21" borderId="31" xfId="0" applyFill="1" applyBorder="1"/>
    <xf numFmtId="0" fontId="0" fillId="21" borderId="32" xfId="0" applyFill="1" applyBorder="1"/>
    <xf numFmtId="0" fontId="0" fillId="32" borderId="0" xfId="0" applyFill="1"/>
    <xf numFmtId="0" fontId="0" fillId="22" borderId="0" xfId="0" applyFill="1"/>
    <xf numFmtId="0" fontId="0" fillId="33" borderId="0" xfId="0" applyFill="1"/>
  </cellXfs>
  <cellStyles count="4">
    <cellStyle name="20% - Énfasis2" xfId="1" builtinId="34"/>
    <cellStyle name="20% - Énfasis3" xfId="2" builtinId="38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00D02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Inicio!$B$7:$B$123</c:f>
              <c:numCache>
                <c:formatCode>General</c:formatCode>
                <c:ptCount val="117"/>
                <c:pt idx="0">
                  <c:v>3.9989999999999998E-2</c:v>
                </c:pt>
                <c:pt idx="1">
                  <c:v>4.3900000000000002E-2</c:v>
                </c:pt>
                <c:pt idx="2">
                  <c:v>4.8190999999999998E-2</c:v>
                </c:pt>
                <c:pt idx="3">
                  <c:v>5.2902999999999999E-2</c:v>
                </c:pt>
                <c:pt idx="4">
                  <c:v>5.8075000000000002E-2</c:v>
                </c:pt>
                <c:pt idx="5">
                  <c:v>6.3753000000000004E-2</c:v>
                </c:pt>
                <c:pt idx="6">
                  <c:v>6.9985000000000006E-2</c:v>
                </c:pt>
                <c:pt idx="7">
                  <c:v>7.6827000000000006E-2</c:v>
                </c:pt>
                <c:pt idx="8">
                  <c:v>8.4337999999999996E-2</c:v>
                </c:pt>
                <c:pt idx="9">
                  <c:v>9.2584E-2</c:v>
                </c:pt>
                <c:pt idx="10">
                  <c:v>0.10163999999999999</c:v>
                </c:pt>
                <c:pt idx="11">
                  <c:v>0.11157</c:v>
                </c:pt>
                <c:pt idx="12">
                  <c:v>0.12248000000000001</c:v>
                </c:pt>
                <c:pt idx="13">
                  <c:v>0.13444999999999999</c:v>
                </c:pt>
                <c:pt idx="14">
                  <c:v>0.14760000000000001</c:v>
                </c:pt>
                <c:pt idx="15">
                  <c:v>0.16203000000000001</c:v>
                </c:pt>
                <c:pt idx="16">
                  <c:v>0.17787</c:v>
                </c:pt>
                <c:pt idx="17">
                  <c:v>0.19525999999999999</c:v>
                </c:pt>
                <c:pt idx="18">
                  <c:v>0.21435000000000001</c:v>
                </c:pt>
                <c:pt idx="19">
                  <c:v>0.23530000000000001</c:v>
                </c:pt>
                <c:pt idx="20">
                  <c:v>0.25830999999999998</c:v>
                </c:pt>
                <c:pt idx="21">
                  <c:v>0.28355999999999998</c:v>
                </c:pt>
                <c:pt idx="22">
                  <c:v>0.31128</c:v>
                </c:pt>
                <c:pt idx="23">
                  <c:v>0.34172000000000002</c:v>
                </c:pt>
                <c:pt idx="24">
                  <c:v>0.37512000000000001</c:v>
                </c:pt>
                <c:pt idx="25">
                  <c:v>0.4118</c:v>
                </c:pt>
                <c:pt idx="26">
                  <c:v>0.45206000000000002</c:v>
                </c:pt>
                <c:pt idx="27">
                  <c:v>0.49625000000000002</c:v>
                </c:pt>
                <c:pt idx="28">
                  <c:v>0.54476999999999998</c:v>
                </c:pt>
                <c:pt idx="29">
                  <c:v>0.59802999999999995</c:v>
                </c:pt>
                <c:pt idx="30">
                  <c:v>0.65649000000000002</c:v>
                </c:pt>
                <c:pt idx="31">
                  <c:v>0.72067999999999999</c:v>
                </c:pt>
                <c:pt idx="32">
                  <c:v>0.79113</c:v>
                </c:pt>
                <c:pt idx="33">
                  <c:v>0.86848000000000003</c:v>
                </c:pt>
                <c:pt idx="34">
                  <c:v>0.95338000000000001</c:v>
                </c:pt>
                <c:pt idx="35">
                  <c:v>1.0466</c:v>
                </c:pt>
                <c:pt idx="36">
                  <c:v>1.1489</c:v>
                </c:pt>
                <c:pt idx="37">
                  <c:v>1.2612000000000001</c:v>
                </c:pt>
                <c:pt idx="38">
                  <c:v>1.3845000000000001</c:v>
                </c:pt>
                <c:pt idx="39">
                  <c:v>1.5199</c:v>
                </c:pt>
                <c:pt idx="40">
                  <c:v>1.6685000000000001</c:v>
                </c:pt>
                <c:pt idx="41">
                  <c:v>1.8315999999999999</c:v>
                </c:pt>
                <c:pt idx="42">
                  <c:v>2.0106999999999999</c:v>
                </c:pt>
                <c:pt idx="43">
                  <c:v>2.2071999999999998</c:v>
                </c:pt>
                <c:pt idx="44">
                  <c:v>2.423</c:v>
                </c:pt>
                <c:pt idx="45">
                  <c:v>2.6598999999999999</c:v>
                </c:pt>
                <c:pt idx="46">
                  <c:v>2.92</c:v>
                </c:pt>
                <c:pt idx="47">
                  <c:v>3.2054</c:v>
                </c:pt>
                <c:pt idx="48">
                  <c:v>3.5188000000000001</c:v>
                </c:pt>
                <c:pt idx="49">
                  <c:v>3.8628</c:v>
                </c:pt>
                <c:pt idx="50">
                  <c:v>4.2404999999999999</c:v>
                </c:pt>
                <c:pt idx="51">
                  <c:v>4.6551</c:v>
                </c:pt>
                <c:pt idx="52">
                  <c:v>5.1101999999999999</c:v>
                </c:pt>
                <c:pt idx="53">
                  <c:v>5.6097999999999999</c:v>
                </c:pt>
                <c:pt idx="54">
                  <c:v>6.1581999999999999</c:v>
                </c:pt>
                <c:pt idx="55">
                  <c:v>6.7603</c:v>
                </c:pt>
                <c:pt idx="56">
                  <c:v>7.4211999999999998</c:v>
                </c:pt>
                <c:pt idx="57">
                  <c:v>8.1466999999999992</c:v>
                </c:pt>
                <c:pt idx="58">
                  <c:v>8.9431999999999992</c:v>
                </c:pt>
                <c:pt idx="59">
                  <c:v>9.8175000000000008</c:v>
                </c:pt>
                <c:pt idx="60">
                  <c:v>10.776999999999999</c:v>
                </c:pt>
                <c:pt idx="61">
                  <c:v>11.831</c:v>
                </c:pt>
                <c:pt idx="62">
                  <c:v>12.988</c:v>
                </c:pt>
                <c:pt idx="63">
                  <c:v>14.257</c:v>
                </c:pt>
                <c:pt idx="64">
                  <c:v>15.651</c:v>
                </c:pt>
                <c:pt idx="65">
                  <c:v>17.181000000000001</c:v>
                </c:pt>
                <c:pt idx="66">
                  <c:v>18.861000000000001</c:v>
                </c:pt>
                <c:pt idx="67">
                  <c:v>20.704999999999998</c:v>
                </c:pt>
                <c:pt idx="68">
                  <c:v>22.728999999999999</c:v>
                </c:pt>
                <c:pt idx="69">
                  <c:v>24.951000000000001</c:v>
                </c:pt>
                <c:pt idx="70">
                  <c:v>27.390999999999998</c:v>
                </c:pt>
                <c:pt idx="71">
                  <c:v>30.068000000000001</c:v>
                </c:pt>
                <c:pt idx="72">
                  <c:v>33.008000000000003</c:v>
                </c:pt>
                <c:pt idx="73">
                  <c:v>36.234999999999999</c:v>
                </c:pt>
                <c:pt idx="74">
                  <c:v>39.777999999999999</c:v>
                </c:pt>
                <c:pt idx="75">
                  <c:v>43.667000000000002</c:v>
                </c:pt>
                <c:pt idx="76">
                  <c:v>47.936</c:v>
                </c:pt>
                <c:pt idx="77">
                  <c:v>52.622</c:v>
                </c:pt>
                <c:pt idx="78">
                  <c:v>57.767000000000003</c:v>
                </c:pt>
                <c:pt idx="79">
                  <c:v>63.414000000000001</c:v>
                </c:pt>
                <c:pt idx="80">
                  <c:v>69.614000000000004</c:v>
                </c:pt>
                <c:pt idx="81">
                  <c:v>76.42</c:v>
                </c:pt>
                <c:pt idx="82">
                  <c:v>83.891000000000005</c:v>
                </c:pt>
                <c:pt idx="83">
                  <c:v>92.091999999999999</c:v>
                </c:pt>
                <c:pt idx="84">
                  <c:v>101.1</c:v>
                </c:pt>
                <c:pt idx="85">
                  <c:v>110.98</c:v>
                </c:pt>
                <c:pt idx="86">
                  <c:v>121.83</c:v>
                </c:pt>
                <c:pt idx="87">
                  <c:v>133.74</c:v>
                </c:pt>
                <c:pt idx="88">
                  <c:v>146.81</c:v>
                </c:pt>
                <c:pt idx="89">
                  <c:v>161.16999999999999</c:v>
                </c:pt>
                <c:pt idx="90">
                  <c:v>176.92</c:v>
                </c:pt>
                <c:pt idx="91">
                  <c:v>194.22</c:v>
                </c:pt>
                <c:pt idx="92">
                  <c:v>213.21</c:v>
                </c:pt>
                <c:pt idx="93">
                  <c:v>234.05</c:v>
                </c:pt>
                <c:pt idx="94">
                  <c:v>256.94</c:v>
                </c:pt>
                <c:pt idx="95">
                  <c:v>282.06</c:v>
                </c:pt>
                <c:pt idx="96">
                  <c:v>309.63</c:v>
                </c:pt>
                <c:pt idx="97">
                  <c:v>339.9</c:v>
                </c:pt>
                <c:pt idx="98">
                  <c:v>373.13</c:v>
                </c:pt>
                <c:pt idx="99">
                  <c:v>409.61</c:v>
                </c:pt>
                <c:pt idx="100">
                  <c:v>449.66</c:v>
                </c:pt>
                <c:pt idx="101">
                  <c:v>493.62</c:v>
                </c:pt>
                <c:pt idx="102">
                  <c:v>541.88</c:v>
                </c:pt>
                <c:pt idx="103">
                  <c:v>594.85</c:v>
                </c:pt>
                <c:pt idx="104">
                  <c:v>653.01</c:v>
                </c:pt>
                <c:pt idx="105">
                  <c:v>716.85</c:v>
                </c:pt>
                <c:pt idx="106">
                  <c:v>786.93</c:v>
                </c:pt>
                <c:pt idx="107">
                  <c:v>863.87</c:v>
                </c:pt>
                <c:pt idx="108">
                  <c:v>948.32</c:v>
                </c:pt>
                <c:pt idx="109">
                  <c:v>1041</c:v>
                </c:pt>
                <c:pt idx="110">
                  <c:v>1142.8</c:v>
                </c:pt>
                <c:pt idx="111">
                  <c:v>1254.5</c:v>
                </c:pt>
                <c:pt idx="112">
                  <c:v>1377.2</c:v>
                </c:pt>
                <c:pt idx="113">
                  <c:v>1511.8</c:v>
                </c:pt>
                <c:pt idx="114">
                  <c:v>1659.6</c:v>
                </c:pt>
                <c:pt idx="115">
                  <c:v>1821.9</c:v>
                </c:pt>
                <c:pt idx="116">
                  <c:v>2000</c:v>
                </c:pt>
              </c:numCache>
            </c:numRef>
          </c:xVal>
          <c:yVal>
            <c:numRef>
              <c:f>Inicio!$C$7:$C$123</c:f>
              <c:numCache>
                <c:formatCode>General</c:formatCode>
                <c:ptCount val="117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202304"/>
        <c:axId val="369203840"/>
      </c:scatterChart>
      <c:valAx>
        <c:axId val="369202304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9203840"/>
        <c:crosses val="autoZero"/>
        <c:crossBetween val="midCat"/>
      </c:valAx>
      <c:valAx>
        <c:axId val="369203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920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Weibull!$B$2:$B$101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Weibull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v>Weibull 1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Weibull!$C$2:$C$101</c:f>
              <c:numCache>
                <c:formatCode>General</c:formatCode>
                <c:ptCount val="100"/>
                <c:pt idx="0">
                  <c:v>1.2441916245172612E-2</c:v>
                </c:pt>
                <c:pt idx="1">
                  <c:v>1.3661526354126416E-2</c:v>
                </c:pt>
                <c:pt idx="2">
                  <c:v>1.4879039559692117E-2</c:v>
                </c:pt>
                <c:pt idx="3">
                  <c:v>1.639824955093E-2</c:v>
                </c:pt>
                <c:pt idx="4">
                  <c:v>1.7914745025568724E-2</c:v>
                </c:pt>
                <c:pt idx="5">
                  <c:v>1.9731286915105742E-2</c:v>
                </c:pt>
                <c:pt idx="6">
                  <c:v>2.154459682448516E-2</c:v>
                </c:pt>
                <c:pt idx="7">
                  <c:v>2.3656409892891458E-2</c:v>
                </c:pt>
                <c:pt idx="8">
                  <c:v>2.576456928382018E-2</c:v>
                </c:pt>
                <c:pt idx="9">
                  <c:v>2.8470176264657216E-2</c:v>
                </c:pt>
                <c:pt idx="10">
                  <c:v>3.1170778556614844E-2</c:v>
                </c:pt>
                <c:pt idx="11">
                  <c:v>3.4166108875707729E-2</c:v>
                </c:pt>
                <c:pt idx="12">
                  <c:v>3.7156297479048583E-2</c:v>
                </c:pt>
                <c:pt idx="13">
                  <c:v>4.0738314019179767E-2</c:v>
                </c:pt>
                <c:pt idx="14">
                  <c:v>4.49095101301977E-2</c:v>
                </c:pt>
                <c:pt idx="15">
                  <c:v>4.9073011233935107E-2</c:v>
                </c:pt>
                <c:pt idx="16">
                  <c:v>5.3822683329392038E-2</c:v>
                </c:pt>
                <c:pt idx="17">
                  <c:v>5.8859969538673319E-2</c:v>
                </c:pt>
                <c:pt idx="18">
                  <c:v>6.4479530566899909E-2</c:v>
                </c:pt>
                <c:pt idx="19">
                  <c:v>7.0678931932374428E-2</c:v>
                </c:pt>
                <c:pt idx="20">
                  <c:v>7.7455771292463893E-2</c:v>
                </c:pt>
                <c:pt idx="21">
                  <c:v>8.5101462385480039E-2</c:v>
                </c:pt>
                <c:pt idx="22">
                  <c:v>9.3025521332567446E-2</c:v>
                </c:pt>
                <c:pt idx="23">
                  <c:v>0.10210518847213977</c:v>
                </c:pt>
                <c:pt idx="24">
                  <c:v>0.11175054124928109</c:v>
                </c:pt>
                <c:pt idx="25">
                  <c:v>0.12254193051636163</c:v>
                </c:pt>
                <c:pt idx="26">
                  <c:v>0.13418241733615571</c:v>
                </c:pt>
                <c:pt idx="27">
                  <c:v>0.14695753313766138</c:v>
                </c:pt>
                <c:pt idx="28">
                  <c:v>0.16114979395793569</c:v>
                </c:pt>
                <c:pt idx="29">
                  <c:v>0.17646125251532641</c:v>
                </c:pt>
                <c:pt idx="30">
                  <c:v>0.19317188912184491</c:v>
                </c:pt>
                <c:pt idx="31">
                  <c:v>0.21184453567126141</c:v>
                </c:pt>
                <c:pt idx="32">
                  <c:v>0.23188995229797305</c:v>
                </c:pt>
                <c:pt idx="33">
                  <c:v>0.25386451004482102</c:v>
                </c:pt>
                <c:pt idx="34">
                  <c:v>0.27803056748067212</c:v>
                </c:pt>
                <c:pt idx="35">
                  <c:v>0.30464275122792095</c:v>
                </c:pt>
                <c:pt idx="36">
                  <c:v>0.33338399897738291</c:v>
                </c:pt>
                <c:pt idx="37">
                  <c:v>0.36477652435616426</c:v>
                </c:pt>
                <c:pt idx="38">
                  <c:v>0.39904544880677323</c:v>
                </c:pt>
                <c:pt idx="39">
                  <c:v>0.43667499322713005</c:v>
                </c:pt>
                <c:pt idx="40">
                  <c:v>0.47729955281130604</c:v>
                </c:pt>
                <c:pt idx="41">
                  <c:v>0.52190071623331724</c:v>
                </c:pt>
                <c:pt idx="42">
                  <c:v>0.57005635541506805</c:v>
                </c:pt>
                <c:pt idx="43">
                  <c:v>0.62212093099704291</c:v>
                </c:pt>
                <c:pt idx="44">
                  <c:v>0.67864484201239783</c:v>
                </c:pt>
                <c:pt idx="45">
                  <c:v>0.73956961863238435</c:v>
                </c:pt>
                <c:pt idx="46">
                  <c:v>0.80500418561470966</c:v>
                </c:pt>
                <c:pt idx="47">
                  <c:v>0.87493386726773226</c:v>
                </c:pt>
                <c:pt idx="48">
                  <c:v>0.94966091446355594</c:v>
                </c:pt>
                <c:pt idx="49">
                  <c:v>1.0285571722400733</c:v>
                </c:pt>
                <c:pt idx="50">
                  <c:v>1.111231145384157</c:v>
                </c:pt>
                <c:pt idx="51">
                  <c:v>1.1973801578642562</c:v>
                </c:pt>
                <c:pt idx="52">
                  <c:v>1.2856554741498796</c:v>
                </c:pt>
                <c:pt idx="53">
                  <c:v>1.3748344956694851</c:v>
                </c:pt>
                <c:pt idx="54">
                  <c:v>1.4627526177001746</c:v>
                </c:pt>
                <c:pt idx="55">
                  <c:v>1.5470841656237126</c:v>
                </c:pt>
                <c:pt idx="56">
                  <c:v>1.6245590214201058</c:v>
                </c:pt>
                <c:pt idx="57">
                  <c:v>1.6912296812045093</c:v>
                </c:pt>
                <c:pt idx="58">
                  <c:v>1.7423147816282565</c:v>
                </c:pt>
                <c:pt idx="59">
                  <c:v>1.7726407475962254</c:v>
                </c:pt>
                <c:pt idx="60">
                  <c:v>1.7764514396876334</c:v>
                </c:pt>
                <c:pt idx="61">
                  <c:v>1.748384470440894</c:v>
                </c:pt>
                <c:pt idx="62">
                  <c:v>1.6833554911722193</c:v>
                </c:pt>
                <c:pt idx="63">
                  <c:v>1.5788625841897936</c:v>
                </c:pt>
                <c:pt idx="64">
                  <c:v>1.435279473530167</c:v>
                </c:pt>
                <c:pt idx="65">
                  <c:v>1.2558596169550003</c:v>
                </c:pt>
                <c:pt idx="66">
                  <c:v>1.0497504041087917</c:v>
                </c:pt>
                <c:pt idx="67">
                  <c:v>0.829874832359909</c:v>
                </c:pt>
                <c:pt idx="68">
                  <c:v>0.61492363623922752</c:v>
                </c:pt>
                <c:pt idx="69">
                  <c:v>0.420729932555997</c:v>
                </c:pt>
                <c:pt idx="70">
                  <c:v>0.26147468001752056</c:v>
                </c:pt>
                <c:pt idx="71">
                  <c:v>0.14477753575387628</c:v>
                </c:pt>
                <c:pt idx="72">
                  <c:v>6.9821946499936047E-2</c:v>
                </c:pt>
                <c:pt idx="73">
                  <c:v>2.848407603281641E-2</c:v>
                </c:pt>
                <c:pt idx="74">
                  <c:v>9.5253657683180074E-3</c:v>
                </c:pt>
                <c:pt idx="75">
                  <c:v>2.5002001652670329E-3</c:v>
                </c:pt>
                <c:pt idx="76">
                  <c:v>4.9105374230991783E-4</c:v>
                </c:pt>
                <c:pt idx="77">
                  <c:v>6.8260226173787612E-5</c:v>
                </c:pt>
                <c:pt idx="78">
                  <c:v>6.204465793946148E-6</c:v>
                </c:pt>
                <c:pt idx="79">
                  <c:v>3.4261864346684177E-7</c:v>
                </c:pt>
                <c:pt idx="80">
                  <c:v>1.0268682336180311E-8</c:v>
                </c:pt>
                <c:pt idx="81">
                  <c:v>1.4786071860636339E-10</c:v>
                </c:pt>
                <c:pt idx="82">
                  <c:v>8.8712456570067993E-13</c:v>
                </c:pt>
                <c:pt idx="83">
                  <c:v>1.8501853645361149E-15</c:v>
                </c:pt>
                <c:pt idx="84">
                  <c:v>1.0744337478824529E-18</c:v>
                </c:pt>
                <c:pt idx="85">
                  <c:v>1.3372841439941844E-22</c:v>
                </c:pt>
                <c:pt idx="86">
                  <c:v>2.8229337500397392E-27</c:v>
                </c:pt>
                <c:pt idx="87">
                  <c:v>6.2877268673162908E-33</c:v>
                </c:pt>
                <c:pt idx="88">
                  <c:v>9.3628379499219622E-40</c:v>
                </c:pt>
                <c:pt idx="89">
                  <c:v>5.4635397081123672E-48</c:v>
                </c:pt>
                <c:pt idx="90">
                  <c:v>7.8007880997568312E-58</c:v>
                </c:pt>
                <c:pt idx="91">
                  <c:v>9.9403743100625681E-70</c:v>
                </c:pt>
                <c:pt idx="92">
                  <c:v>4.7108244050242154E-84</c:v>
                </c:pt>
                <c:pt idx="93">
                  <c:v>3.0336179421444015E-101</c:v>
                </c:pt>
                <c:pt idx="94">
                  <c:v>5.4209149449406159E-122</c:v>
                </c:pt>
                <c:pt idx="95">
                  <c:v>5.0258992663246905E-147</c:v>
                </c:pt>
                <c:pt idx="96">
                  <c:v>5.7185799231940291E-177</c:v>
                </c:pt>
                <c:pt idx="97">
                  <c:v>3.9547996430433114E-213</c:v>
                </c:pt>
                <c:pt idx="98">
                  <c:v>1.4816995751351863E-256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Weibull 2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Weibull!$E$2:$E$101</c:f>
              <c:numCache>
                <c:formatCode>General</c:formatCode>
                <c:ptCount val="100"/>
                <c:pt idx="0">
                  <c:v>9.1697192449751721E-4</c:v>
                </c:pt>
                <c:pt idx="1">
                  <c:v>8.3367015551794586E-4</c:v>
                </c:pt>
                <c:pt idx="2">
                  <c:v>7.6424672261460748E-4</c:v>
                </c:pt>
                <c:pt idx="3">
                  <c:v>6.9219800796109271E-4</c:v>
                </c:pt>
                <c:pt idx="4">
                  <c:v>6.3256686315646545E-4</c:v>
                </c:pt>
                <c:pt idx="5">
                  <c:v>5.7330389729063594E-4</c:v>
                </c:pt>
                <c:pt idx="6">
                  <c:v>5.241965946008346E-4</c:v>
                </c:pt>
                <c:pt idx="7">
                  <c:v>4.7657390806092522E-4</c:v>
                </c:pt>
                <c:pt idx="8">
                  <c:v>4.3688549687533626E-4</c:v>
                </c:pt>
                <c:pt idx="9">
                  <c:v>3.9463346001500843E-4</c:v>
                </c:pt>
                <c:pt idx="10">
                  <c:v>3.5983507241035427E-4</c:v>
                </c:pt>
                <c:pt idx="11">
                  <c:v>3.2772715727841738E-4</c:v>
                </c:pt>
                <c:pt idx="12">
                  <c:v>3.0088103224297562E-4</c:v>
                </c:pt>
                <c:pt idx="13">
                  <c:v>2.7395298372524183E-4</c:v>
                </c:pt>
                <c:pt idx="14">
                  <c:v>2.480541345514944E-4</c:v>
                </c:pt>
                <c:pt idx="15">
                  <c:v>2.2663015740195748E-4</c:v>
                </c:pt>
                <c:pt idx="16">
                  <c:v>2.0627087936593954E-4</c:v>
                </c:pt>
                <c:pt idx="17">
                  <c:v>1.8829872461325402E-4</c:v>
                </c:pt>
                <c:pt idx="18">
                  <c:v>1.7159016781568626E-4</c:v>
                </c:pt>
                <c:pt idx="19">
                  <c:v>1.5626521020465091E-4</c:v>
                </c:pt>
                <c:pt idx="20">
                  <c:v>1.4234231671353916E-4</c:v>
                </c:pt>
                <c:pt idx="21">
                  <c:v>1.293180846599717E-4</c:v>
                </c:pt>
                <c:pt idx="22">
                  <c:v>1.1809715711124493E-4</c:v>
                </c:pt>
                <c:pt idx="23">
                  <c:v>1.0739810550834156E-4</c:v>
                </c:pt>
                <c:pt idx="24">
                  <c:v>9.7951998242043427E-5</c:v>
                </c:pt>
                <c:pt idx="25">
                  <c:v>8.9159844662419386E-5</c:v>
                </c:pt>
                <c:pt idx="26">
                  <c:v>8.1273571411470907E-5</c:v>
                </c:pt>
                <c:pt idx="27">
                  <c:v>7.4067393547989736E-5</c:v>
                </c:pt>
                <c:pt idx="28">
                  <c:v>6.7411366267016467E-5</c:v>
                </c:pt>
                <c:pt idx="29">
                  <c:v>6.1439641284526464E-5</c:v>
                </c:pt>
                <c:pt idx="30">
                  <c:v>5.6010033767990263E-5</c:v>
                </c:pt>
                <c:pt idx="31">
                  <c:v>5.0962916195837951E-5</c:v>
                </c:pt>
                <c:pt idx="32">
                  <c:v>4.6454968880096987E-5</c:v>
                </c:pt>
                <c:pt idx="33">
                  <c:v>4.2335797447965226E-5</c:v>
                </c:pt>
                <c:pt idx="34">
                  <c:v>3.8561429823035514E-5</c:v>
                </c:pt>
                <c:pt idx="35">
                  <c:v>3.5100852956838365E-5</c:v>
                </c:pt>
                <c:pt idx="36">
                  <c:v>3.1986157327968722E-5</c:v>
                </c:pt>
                <c:pt idx="37">
                  <c:v>2.9146365549088753E-5</c:v>
                </c:pt>
                <c:pt idx="38">
                  <c:v>2.6557087917007652E-5</c:v>
                </c:pt>
                <c:pt idx="39">
                  <c:v>2.41818630544442E-5</c:v>
                </c:pt>
                <c:pt idx="40">
                  <c:v>2.2037057006645819E-5</c:v>
                </c:pt>
                <c:pt idx="41">
                  <c:v>2.0065050421783761E-5</c:v>
                </c:pt>
                <c:pt idx="42">
                  <c:v>1.8279709000641202E-5</c:v>
                </c:pt>
                <c:pt idx="43">
                  <c:v>1.6656902359851514E-5</c:v>
                </c:pt>
                <c:pt idx="44">
                  <c:v>1.5172532643898378E-5</c:v>
                </c:pt>
                <c:pt idx="45">
                  <c:v>1.3821157200787723E-5</c:v>
                </c:pt>
                <c:pt idx="46">
                  <c:v>1.2590917150987843E-5</c:v>
                </c:pt>
                <c:pt idx="47">
                  <c:v>1.1471652286926823E-5</c:v>
                </c:pt>
                <c:pt idx="48">
                  <c:v>1.0448362133830905E-5</c:v>
                </c:pt>
                <c:pt idx="49">
                  <c:v>9.5182225660438531E-6</c:v>
                </c:pt>
                <c:pt idx="50">
                  <c:v>8.6721624006127018E-6</c:v>
                </c:pt>
                <c:pt idx="51">
                  <c:v>7.8992514249666144E-6</c:v>
                </c:pt>
                <c:pt idx="52">
                  <c:v>7.1960919411658193E-6</c:v>
                </c:pt>
                <c:pt idx="53">
                  <c:v>6.5549044933083588E-6</c:v>
                </c:pt>
                <c:pt idx="54">
                  <c:v>5.9717385471191497E-6</c:v>
                </c:pt>
                <c:pt idx="55">
                  <c:v>5.4400720956689061E-6</c:v>
                </c:pt>
                <c:pt idx="56">
                  <c:v>4.9556364133865853E-6</c:v>
                </c:pt>
                <c:pt idx="57">
                  <c:v>4.5141325049904592E-6</c:v>
                </c:pt>
                <c:pt idx="58">
                  <c:v>4.1124303906305162E-6</c:v>
                </c:pt>
                <c:pt idx="59">
                  <c:v>3.746003494571596E-6</c:v>
                </c:pt>
                <c:pt idx="60">
                  <c:v>3.4117838006234063E-6</c:v>
                </c:pt>
                <c:pt idx="61">
                  <c:v>3.1090245932806114E-6</c:v>
                </c:pt>
                <c:pt idx="62">
                  <c:v>2.8314446340251234E-6</c:v>
                </c:pt>
                <c:pt idx="63">
                  <c:v>2.5793223900683667E-6</c:v>
                </c:pt>
                <c:pt idx="64">
                  <c:v>2.3502732017905188E-6</c:v>
                </c:pt>
                <c:pt idx="65">
                  <c:v>2.14100025444758E-6</c:v>
                </c:pt>
                <c:pt idx="66">
                  <c:v>1.9503161097909747E-6</c:v>
                </c:pt>
                <c:pt idx="67">
                  <c:v>1.776123098688092E-6</c:v>
                </c:pt>
                <c:pt idx="68">
                  <c:v>1.6183027944962031E-6</c:v>
                </c:pt>
                <c:pt idx="69">
                  <c:v>1.4743288524631526E-6</c:v>
                </c:pt>
                <c:pt idx="70">
                  <c:v>1.3430068001975385E-6</c:v>
                </c:pt>
                <c:pt idx="71">
                  <c:v>1.2233247832460284E-6</c:v>
                </c:pt>
                <c:pt idx="72">
                  <c:v>1.1143824375622251E-6</c:v>
                </c:pt>
                <c:pt idx="73">
                  <c:v>1.0150695610910781E-6</c:v>
                </c:pt>
                <c:pt idx="74">
                  <c:v>9.2474724191319222E-7</c:v>
                </c:pt>
                <c:pt idx="75">
                  <c:v>8.4238008460716046E-7</c:v>
                </c:pt>
                <c:pt idx="76">
                  <c:v>7.6735501720542639E-7</c:v>
                </c:pt>
                <c:pt idx="77">
                  <c:v>6.9911114867728532E-7</c:v>
                </c:pt>
                <c:pt idx="78">
                  <c:v>6.367911803261338E-7</c:v>
                </c:pt>
                <c:pt idx="79">
                  <c:v>5.8015442474630593E-7</c:v>
                </c:pt>
                <c:pt idx="80">
                  <c:v>5.2848335077912987E-7</c:v>
                </c:pt>
                <c:pt idx="81">
                  <c:v>4.8139005711037262E-7</c:v>
                </c:pt>
                <c:pt idx="82">
                  <c:v>4.3852542937511377E-7</c:v>
                </c:pt>
                <c:pt idx="83">
                  <c:v>3.9947808045292069E-7</c:v>
                </c:pt>
                <c:pt idx="84">
                  <c:v>3.6387678143821585E-7</c:v>
                </c:pt>
                <c:pt idx="85">
                  <c:v>3.31422672800633E-7</c:v>
                </c:pt>
                <c:pt idx="86">
                  <c:v>3.0203496769268849E-7</c:v>
                </c:pt>
                <c:pt idx="87">
                  <c:v>2.7515160245351829E-7</c:v>
                </c:pt>
                <c:pt idx="88">
                  <c:v>2.5059705033304353E-7</c:v>
                </c:pt>
                <c:pt idx="89">
                  <c:v>2.2821024983030294E-7</c:v>
                </c:pt>
                <c:pt idx="90">
                  <c:v>2.0795537911870591E-7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513600"/>
        <c:axId val="369515136"/>
      </c:scatterChart>
      <c:valAx>
        <c:axId val="369513600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9515136"/>
        <c:crosses val="autoZero"/>
        <c:crossBetween val="midCat"/>
      </c:valAx>
      <c:valAx>
        <c:axId val="36951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9513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Weibull!$B$2:$B$101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1"/>
          <c:tx>
            <c:v>Moda 1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Weibull!$C$2:$C$101</c:f>
              <c:numCache>
                <c:formatCode>General</c:formatCode>
                <c:ptCount val="100"/>
                <c:pt idx="0">
                  <c:v>1.2441916245172612E-2</c:v>
                </c:pt>
                <c:pt idx="1">
                  <c:v>1.3661526354126416E-2</c:v>
                </c:pt>
                <c:pt idx="2">
                  <c:v>1.4879039559692117E-2</c:v>
                </c:pt>
                <c:pt idx="3">
                  <c:v>1.639824955093E-2</c:v>
                </c:pt>
                <c:pt idx="4">
                  <c:v>1.7914745025568724E-2</c:v>
                </c:pt>
                <c:pt idx="5">
                  <c:v>1.9731286915105742E-2</c:v>
                </c:pt>
                <c:pt idx="6">
                  <c:v>2.154459682448516E-2</c:v>
                </c:pt>
                <c:pt idx="7">
                  <c:v>2.3656409892891458E-2</c:v>
                </c:pt>
                <c:pt idx="8">
                  <c:v>2.576456928382018E-2</c:v>
                </c:pt>
                <c:pt idx="9">
                  <c:v>2.8470176264657216E-2</c:v>
                </c:pt>
                <c:pt idx="10">
                  <c:v>3.1170778556614844E-2</c:v>
                </c:pt>
                <c:pt idx="11">
                  <c:v>3.4166108875707729E-2</c:v>
                </c:pt>
                <c:pt idx="12">
                  <c:v>3.7156297479048583E-2</c:v>
                </c:pt>
                <c:pt idx="13">
                  <c:v>4.0738314019179767E-2</c:v>
                </c:pt>
                <c:pt idx="14">
                  <c:v>4.49095101301977E-2</c:v>
                </c:pt>
                <c:pt idx="15">
                  <c:v>4.9073011233935107E-2</c:v>
                </c:pt>
                <c:pt idx="16">
                  <c:v>5.3822683329392038E-2</c:v>
                </c:pt>
                <c:pt idx="17">
                  <c:v>5.8859969538673319E-2</c:v>
                </c:pt>
                <c:pt idx="18">
                  <c:v>6.4479530566899909E-2</c:v>
                </c:pt>
                <c:pt idx="19">
                  <c:v>7.0678931932374428E-2</c:v>
                </c:pt>
                <c:pt idx="20">
                  <c:v>7.7455771292463893E-2</c:v>
                </c:pt>
                <c:pt idx="21">
                  <c:v>8.5101462385480039E-2</c:v>
                </c:pt>
                <c:pt idx="22">
                  <c:v>9.3025521332567446E-2</c:v>
                </c:pt>
                <c:pt idx="23">
                  <c:v>0.10210518847213977</c:v>
                </c:pt>
                <c:pt idx="24">
                  <c:v>0.11175054124928109</c:v>
                </c:pt>
                <c:pt idx="25">
                  <c:v>0.12254193051636163</c:v>
                </c:pt>
                <c:pt idx="26">
                  <c:v>0.13418241733615571</c:v>
                </c:pt>
                <c:pt idx="27">
                  <c:v>0.14695753313766138</c:v>
                </c:pt>
                <c:pt idx="28">
                  <c:v>0.16114979395793569</c:v>
                </c:pt>
                <c:pt idx="29">
                  <c:v>0.17646125251532641</c:v>
                </c:pt>
                <c:pt idx="30">
                  <c:v>0.19317188912184491</c:v>
                </c:pt>
                <c:pt idx="31">
                  <c:v>0.21184453567126141</c:v>
                </c:pt>
                <c:pt idx="32">
                  <c:v>0.23188995229797305</c:v>
                </c:pt>
                <c:pt idx="33">
                  <c:v>0.25386451004482102</c:v>
                </c:pt>
                <c:pt idx="34">
                  <c:v>0.27803056748067212</c:v>
                </c:pt>
                <c:pt idx="35">
                  <c:v>0.30464275122792095</c:v>
                </c:pt>
                <c:pt idx="36">
                  <c:v>0.33338399897738291</c:v>
                </c:pt>
                <c:pt idx="37">
                  <c:v>0.36477652435616426</c:v>
                </c:pt>
                <c:pt idx="38">
                  <c:v>0.39904544880677323</c:v>
                </c:pt>
                <c:pt idx="39">
                  <c:v>0.43667499322713005</c:v>
                </c:pt>
                <c:pt idx="40">
                  <c:v>0.47729955281130604</c:v>
                </c:pt>
                <c:pt idx="41">
                  <c:v>0.52190071623331724</c:v>
                </c:pt>
                <c:pt idx="42">
                  <c:v>0.57005635541506805</c:v>
                </c:pt>
                <c:pt idx="43">
                  <c:v>0.62212093099704291</c:v>
                </c:pt>
                <c:pt idx="44">
                  <c:v>0.67864484201239783</c:v>
                </c:pt>
                <c:pt idx="45">
                  <c:v>0.73956961863238435</c:v>
                </c:pt>
                <c:pt idx="46">
                  <c:v>0.80500418561470966</c:v>
                </c:pt>
                <c:pt idx="47">
                  <c:v>0.87493386726773226</c:v>
                </c:pt>
                <c:pt idx="48">
                  <c:v>0.94966091446355594</c:v>
                </c:pt>
                <c:pt idx="49">
                  <c:v>1.0285571722400733</c:v>
                </c:pt>
                <c:pt idx="50">
                  <c:v>1.111231145384157</c:v>
                </c:pt>
                <c:pt idx="51">
                  <c:v>1.1973801578642562</c:v>
                </c:pt>
                <c:pt idx="52">
                  <c:v>1.2856554741498796</c:v>
                </c:pt>
                <c:pt idx="53">
                  <c:v>1.3748344956694851</c:v>
                </c:pt>
                <c:pt idx="54">
                  <c:v>1.4627526177001746</c:v>
                </c:pt>
                <c:pt idx="55">
                  <c:v>1.5470841656237126</c:v>
                </c:pt>
                <c:pt idx="56">
                  <c:v>1.6245590214201058</c:v>
                </c:pt>
                <c:pt idx="57">
                  <c:v>1.6912296812045093</c:v>
                </c:pt>
                <c:pt idx="58">
                  <c:v>1.7423147816282565</c:v>
                </c:pt>
                <c:pt idx="59">
                  <c:v>1.7726407475962254</c:v>
                </c:pt>
                <c:pt idx="60">
                  <c:v>1.7764514396876334</c:v>
                </c:pt>
                <c:pt idx="61">
                  <c:v>1.748384470440894</c:v>
                </c:pt>
                <c:pt idx="62">
                  <c:v>1.6833554911722193</c:v>
                </c:pt>
                <c:pt idx="63">
                  <c:v>1.5788625841897936</c:v>
                </c:pt>
                <c:pt idx="64">
                  <c:v>1.435279473530167</c:v>
                </c:pt>
                <c:pt idx="65">
                  <c:v>1.2558596169550003</c:v>
                </c:pt>
                <c:pt idx="66">
                  <c:v>1.0497504041087917</c:v>
                </c:pt>
                <c:pt idx="67">
                  <c:v>0.829874832359909</c:v>
                </c:pt>
                <c:pt idx="68">
                  <c:v>0.61492363623922752</c:v>
                </c:pt>
                <c:pt idx="69">
                  <c:v>0.420729932555997</c:v>
                </c:pt>
                <c:pt idx="70">
                  <c:v>0.26147468001752056</c:v>
                </c:pt>
                <c:pt idx="71">
                  <c:v>0.14477753575387628</c:v>
                </c:pt>
                <c:pt idx="72">
                  <c:v>6.9821946499936047E-2</c:v>
                </c:pt>
                <c:pt idx="73">
                  <c:v>2.848407603281641E-2</c:v>
                </c:pt>
                <c:pt idx="74">
                  <c:v>9.5253657683180074E-3</c:v>
                </c:pt>
                <c:pt idx="75">
                  <c:v>2.5002001652670329E-3</c:v>
                </c:pt>
                <c:pt idx="76">
                  <c:v>4.9105374230991783E-4</c:v>
                </c:pt>
                <c:pt idx="77">
                  <c:v>6.8260226173787612E-5</c:v>
                </c:pt>
                <c:pt idx="78">
                  <c:v>6.204465793946148E-6</c:v>
                </c:pt>
                <c:pt idx="79">
                  <c:v>3.4261864346684177E-7</c:v>
                </c:pt>
                <c:pt idx="80">
                  <c:v>1.0268682336180311E-8</c:v>
                </c:pt>
                <c:pt idx="81">
                  <c:v>1.4786071860636339E-10</c:v>
                </c:pt>
                <c:pt idx="82">
                  <c:v>8.8712456570067993E-13</c:v>
                </c:pt>
                <c:pt idx="83">
                  <c:v>1.8501853645361149E-15</c:v>
                </c:pt>
                <c:pt idx="84">
                  <c:v>1.0744337478824529E-18</c:v>
                </c:pt>
                <c:pt idx="85">
                  <c:v>1.3372841439941844E-22</c:v>
                </c:pt>
                <c:pt idx="86">
                  <c:v>2.8229337500397392E-27</c:v>
                </c:pt>
                <c:pt idx="87">
                  <c:v>6.2877268673162908E-33</c:v>
                </c:pt>
                <c:pt idx="88">
                  <c:v>9.3628379499219622E-40</c:v>
                </c:pt>
                <c:pt idx="89">
                  <c:v>5.4635397081123672E-48</c:v>
                </c:pt>
                <c:pt idx="90">
                  <c:v>7.8007880997568312E-58</c:v>
                </c:pt>
                <c:pt idx="91">
                  <c:v>9.9403743100625681E-70</c:v>
                </c:pt>
                <c:pt idx="92">
                  <c:v>4.7108244050242154E-84</c:v>
                </c:pt>
                <c:pt idx="93">
                  <c:v>3.0336179421444015E-101</c:v>
                </c:pt>
                <c:pt idx="94">
                  <c:v>5.4209149449406159E-122</c:v>
                </c:pt>
                <c:pt idx="95">
                  <c:v>5.0258992663246905E-147</c:v>
                </c:pt>
                <c:pt idx="96">
                  <c:v>5.7185799231940291E-177</c:v>
                </c:pt>
                <c:pt idx="97">
                  <c:v>3.9547996430433114E-213</c:v>
                </c:pt>
                <c:pt idx="98">
                  <c:v>1.4816995751351863E-256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600000"/>
        <c:axId val="369601536"/>
      </c:scatterChart>
      <c:valAx>
        <c:axId val="369600000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9601536"/>
        <c:crosses val="autoZero"/>
        <c:crossBetween val="midCat"/>
      </c:valAx>
      <c:valAx>
        <c:axId val="36960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96000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Normal!$C$2:$C$101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 formatCode="0.00E+00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1"/>
          <c:tx>
            <c:v>Moda 1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Normal!$D$2:$D$101</c:f>
              <c:numCache>
                <c:formatCode>General</c:formatCode>
                <c:ptCount val="100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8.8451122804042066E-6</c:v>
                </c:pt>
                <c:pt idx="10">
                  <c:v>1.4314290504605203E-5</c:v>
                </c:pt>
                <c:pt idx="11">
                  <c:v>2.3078731871163335E-5</c:v>
                </c:pt>
                <c:pt idx="12">
                  <c:v>3.5413834065662085E-5</c:v>
                </c:pt>
                <c:pt idx="13">
                  <c:v>5.6114802329691744E-5</c:v>
                </c:pt>
                <c:pt idx="14">
                  <c:v>9.0394318358328864E-5</c:v>
                </c:pt>
                <c:pt idx="15">
                  <c:v>1.3813367505176327E-4</c:v>
                </c:pt>
                <c:pt idx="16">
                  <c:v>2.1280124548497326E-4</c:v>
                </c:pt>
                <c:pt idx="17">
                  <c:v>3.2033963799973561E-4</c:v>
                </c:pt>
                <c:pt idx="18">
                  <c:v>4.8139960600538745E-4</c:v>
                </c:pt>
                <c:pt idx="19">
                  <c:v>7.1837703545519203E-4</c:v>
                </c:pt>
                <c:pt idx="20">
                  <c:v>1.0605003786323527E-3</c:v>
                </c:pt>
                <c:pt idx="21">
                  <c:v>1.5668427187542733E-3</c:v>
                </c:pt>
                <c:pt idx="22">
                  <c:v>2.2450964638795292E-3</c:v>
                </c:pt>
                <c:pt idx="23">
                  <c:v>3.2386783648056363E-3</c:v>
                </c:pt>
                <c:pt idx="24">
                  <c:v>4.5755406445733464E-3</c:v>
                </c:pt>
                <c:pt idx="25">
                  <c:v>6.4488131169730878E-3</c:v>
                </c:pt>
                <c:pt idx="26">
                  <c:v>8.9541710105502208E-3</c:v>
                </c:pt>
                <c:pt idx="27">
                  <c:v>1.232354081404289E-2</c:v>
                </c:pt>
                <c:pt idx="28">
                  <c:v>1.6870151260915706E-2</c:v>
                </c:pt>
                <c:pt idx="29">
                  <c:v>2.2763693396431469E-2</c:v>
                </c:pt>
                <c:pt idx="30">
                  <c:v>3.0398968731031546E-2</c:v>
                </c:pt>
                <c:pt idx="31">
                  <c:v>4.0435392413845424E-2</c:v>
                </c:pt>
                <c:pt idx="32">
                  <c:v>5.2973209049479213E-2</c:v>
                </c:pt>
                <c:pt idx="33">
                  <c:v>6.8778296537838568E-2</c:v>
                </c:pt>
                <c:pt idx="34">
                  <c:v>8.8563478585618E-2</c:v>
                </c:pt>
                <c:pt idx="35">
                  <c:v>0.11311570694518272</c:v>
                </c:pt>
                <c:pt idx="36">
                  <c:v>0.14266189011220787</c:v>
                </c:pt>
                <c:pt idx="37">
                  <c:v>0.17821136016959704</c:v>
                </c:pt>
                <c:pt idx="38">
                  <c:v>0.22049960813085565</c:v>
                </c:pt>
                <c:pt idx="39">
                  <c:v>0.27056544811454669</c:v>
                </c:pt>
                <c:pt idx="40">
                  <c:v>0.32820047516890732</c:v>
                </c:pt>
                <c:pt idx="41">
                  <c:v>0.39493566273621067</c:v>
                </c:pt>
                <c:pt idx="42">
                  <c:v>0.4700991428599679</c:v>
                </c:pt>
                <c:pt idx="43">
                  <c:v>0.55393081244921916</c:v>
                </c:pt>
                <c:pt idx="44">
                  <c:v>0.64679726491799283</c:v>
                </c:pt>
                <c:pt idx="45">
                  <c:v>0.74782656048671736</c:v>
                </c:pt>
                <c:pt idx="46">
                  <c:v>0.85616019060712434</c:v>
                </c:pt>
                <c:pt idx="47">
                  <c:v>0.97051337403234794</c:v>
                </c:pt>
                <c:pt idx="48">
                  <c:v>1.0899291928902108</c:v>
                </c:pt>
                <c:pt idx="49">
                  <c:v>1.2118476057559602</c:v>
                </c:pt>
                <c:pt idx="50">
                  <c:v>1.3341316474188767</c:v>
                </c:pt>
                <c:pt idx="51">
                  <c:v>1.4548741611133436</c:v>
                </c:pt>
                <c:pt idx="52">
                  <c:v>1.5709611963156418</c:v>
                </c:pt>
                <c:pt idx="53">
                  <c:v>1.679954359955496</c:v>
                </c:pt>
                <c:pt idx="54">
                  <c:v>1.7788906347939708</c:v>
                </c:pt>
                <c:pt idx="55">
                  <c:v>1.8654549481169489</c:v>
                </c:pt>
                <c:pt idx="56">
                  <c:v>1.9372559101927975</c:v>
                </c:pt>
                <c:pt idx="57">
                  <c:v>1.9923052653247617</c:v>
                </c:pt>
                <c:pt idx="58">
                  <c:v>2.028968764462534</c:v>
                </c:pt>
                <c:pt idx="59">
                  <c:v>2.0462800772086251</c:v>
                </c:pt>
                <c:pt idx="60">
                  <c:v>2.0436563667220904</c:v>
                </c:pt>
                <c:pt idx="61">
                  <c:v>2.0213193569238292</c:v>
                </c:pt>
                <c:pt idx="62">
                  <c:v>1.979630062561613</c:v>
                </c:pt>
                <c:pt idx="63">
                  <c:v>1.9200631913662973</c:v>
                </c:pt>
                <c:pt idx="64">
                  <c:v>1.844445806797929</c:v>
                </c:pt>
                <c:pt idx="65">
                  <c:v>1.7544308366892705</c:v>
                </c:pt>
                <c:pt idx="66">
                  <c:v>1.6525824316778175</c:v>
                </c:pt>
                <c:pt idx="67">
                  <c:v>1.5411877996674956</c:v>
                </c:pt>
                <c:pt idx="68">
                  <c:v>1.4239079038187694</c:v>
                </c:pt>
                <c:pt idx="69">
                  <c:v>1.3026809252384126</c:v>
                </c:pt>
                <c:pt idx="70">
                  <c:v>1.1800743159196077</c:v>
                </c:pt>
                <c:pt idx="71">
                  <c:v>1.0585638295245436</c:v>
                </c:pt>
                <c:pt idx="72">
                  <c:v>0.94041574199993361</c:v>
                </c:pt>
                <c:pt idx="73">
                  <c:v>0.82725942764330207</c:v>
                </c:pt>
                <c:pt idx="74">
                  <c:v>0.72081007433876076</c:v>
                </c:pt>
                <c:pt idx="75">
                  <c:v>0.62187285378541157</c:v>
                </c:pt>
                <c:pt idx="76">
                  <c:v>0.53131224101151875</c:v>
                </c:pt>
                <c:pt idx="77">
                  <c:v>0.44964980623178014</c:v>
                </c:pt>
                <c:pt idx="78">
                  <c:v>0.37668787387824676</c:v>
                </c:pt>
                <c:pt idx="79">
                  <c:v>0.31263714208548649</c:v>
                </c:pt>
                <c:pt idx="80">
                  <c:v>0.25689031449465988</c:v>
                </c:pt>
                <c:pt idx="81">
                  <c:v>0.20901064667815661</c:v>
                </c:pt>
                <c:pt idx="82">
                  <c:v>0.16843141172614118</c:v>
                </c:pt>
                <c:pt idx="83">
                  <c:v>0.13441396499710268</c:v>
                </c:pt>
                <c:pt idx="84">
                  <c:v>0.10620294174198158</c:v>
                </c:pt>
                <c:pt idx="85">
                  <c:v>8.3080073017070571E-2</c:v>
                </c:pt>
                <c:pt idx="86">
                  <c:v>6.446094139930035E-2</c:v>
                </c:pt>
                <c:pt idx="87">
                  <c:v>4.9480771144003281E-2</c:v>
                </c:pt>
                <c:pt idx="88">
                  <c:v>3.7584931582642381E-2</c:v>
                </c:pt>
                <c:pt idx="89">
                  <c:v>2.8261744197170497E-2</c:v>
                </c:pt>
                <c:pt idx="90">
                  <c:v>2.1086522996661729E-2</c:v>
                </c:pt>
                <c:pt idx="91">
                  <c:v>1.5562527409024286E-2</c:v>
                </c:pt>
                <c:pt idx="92">
                  <c:v>1.1372588494246326E-2</c:v>
                </c:pt>
                <c:pt idx="93">
                  <c:v>8.2372105889322797E-3</c:v>
                </c:pt>
                <c:pt idx="94">
                  <c:v>5.9026620747873928E-3</c:v>
                </c:pt>
                <c:pt idx="95">
                  <c:v>4.1853574331461646E-3</c:v>
                </c:pt>
                <c:pt idx="96">
                  <c:v>2.9449434085023702E-3</c:v>
                </c:pt>
                <c:pt idx="97">
                  <c:v>2.0493127270249361E-3</c:v>
                </c:pt>
                <c:pt idx="98">
                  <c:v>1.4131937027913439E-3</c:v>
                </c:pt>
                <c:pt idx="99">
                  <c:v>9.6452711588775584E-4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548096"/>
        <c:axId val="370553984"/>
      </c:scatterChart>
      <c:valAx>
        <c:axId val="370548096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553984"/>
        <c:crosses val="autoZero"/>
        <c:crossBetween val="midCat"/>
      </c:valAx>
      <c:valAx>
        <c:axId val="37055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548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Weibull!$B$2:$B$101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4"/>
          <c:order val="1"/>
          <c:tx>
            <c:v>Weibull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Weibull!$H$2:$H$101</c:f>
              <c:numCache>
                <c:formatCode>General</c:formatCode>
                <c:ptCount val="100"/>
                <c:pt idx="0">
                  <c:v>1.335888816967013E-2</c:v>
                </c:pt>
                <c:pt idx="1">
                  <c:v>1.4495196509644362E-2</c:v>
                </c:pt>
                <c:pt idx="2">
                  <c:v>1.5643286282306726E-2</c:v>
                </c:pt>
                <c:pt idx="3">
                  <c:v>1.7090447558891091E-2</c:v>
                </c:pt>
                <c:pt idx="4">
                  <c:v>1.8547311888725188E-2</c:v>
                </c:pt>
                <c:pt idx="5">
                  <c:v>2.0304590812396377E-2</c:v>
                </c:pt>
                <c:pt idx="6">
                  <c:v>2.2068793419085995E-2</c:v>
                </c:pt>
                <c:pt idx="7">
                  <c:v>2.4132983800952384E-2</c:v>
                </c:pt>
                <c:pt idx="8">
                  <c:v>2.6201454780695518E-2</c:v>
                </c:pt>
                <c:pt idx="9">
                  <c:v>2.8864809724672223E-2</c:v>
                </c:pt>
                <c:pt idx="10">
                  <c:v>3.1530613629025199E-2</c:v>
                </c:pt>
                <c:pt idx="11">
                  <c:v>3.4493836032986148E-2</c:v>
                </c:pt>
                <c:pt idx="12">
                  <c:v>3.7457178511291558E-2</c:v>
                </c:pt>
                <c:pt idx="13">
                  <c:v>4.1012267002905008E-2</c:v>
                </c:pt>
                <c:pt idx="14">
                  <c:v>4.5157564264749192E-2</c:v>
                </c:pt>
                <c:pt idx="15">
                  <c:v>4.9299641391337065E-2</c:v>
                </c:pt>
                <c:pt idx="16">
                  <c:v>5.402895420875798E-2</c:v>
                </c:pt>
                <c:pt idx="17">
                  <c:v>5.9048268263286574E-2</c:v>
                </c:pt>
                <c:pt idx="18">
                  <c:v>6.46511207347156E-2</c:v>
                </c:pt>
                <c:pt idx="19">
                  <c:v>7.0835197142579076E-2</c:v>
                </c:pt>
                <c:pt idx="20">
                  <c:v>7.7598113609177427E-2</c:v>
                </c:pt>
                <c:pt idx="21">
                  <c:v>8.5230780470140016E-2</c:v>
                </c:pt>
                <c:pt idx="22">
                  <c:v>9.3143618489678684E-2</c:v>
                </c:pt>
                <c:pt idx="23">
                  <c:v>0.10221258657764812</c:v>
                </c:pt>
                <c:pt idx="24">
                  <c:v>0.11184849324752313</c:v>
                </c:pt>
                <c:pt idx="25">
                  <c:v>0.12263109036102404</c:v>
                </c:pt>
                <c:pt idx="26">
                  <c:v>0.13426369090756718</c:v>
                </c:pt>
                <c:pt idx="27">
                  <c:v>0.14703160053120937</c:v>
                </c:pt>
                <c:pt idx="28">
                  <c:v>0.16121720532420269</c:v>
                </c:pt>
                <c:pt idx="29">
                  <c:v>0.17652269215661093</c:v>
                </c:pt>
                <c:pt idx="30">
                  <c:v>0.19322789915561289</c:v>
                </c:pt>
                <c:pt idx="31">
                  <c:v>0.21189549858745724</c:v>
                </c:pt>
                <c:pt idx="32">
                  <c:v>0.23193640726685313</c:v>
                </c:pt>
                <c:pt idx="33">
                  <c:v>0.25390684584226897</c:v>
                </c:pt>
                <c:pt idx="34">
                  <c:v>0.27806912891049518</c:v>
                </c:pt>
                <c:pt idx="35">
                  <c:v>0.30467785208087778</c:v>
                </c:pt>
                <c:pt idx="36">
                  <c:v>0.33341598513471088</c:v>
                </c:pt>
                <c:pt idx="37">
                  <c:v>0.36480567072171333</c:v>
                </c:pt>
                <c:pt idx="38">
                  <c:v>0.39907200589469022</c:v>
                </c:pt>
                <c:pt idx="39">
                  <c:v>0.43669917509018447</c:v>
                </c:pt>
                <c:pt idx="40">
                  <c:v>0.47732158986831269</c:v>
                </c:pt>
                <c:pt idx="41">
                  <c:v>0.52192078128373898</c:v>
                </c:pt>
                <c:pt idx="42">
                  <c:v>0.57007463512406864</c:v>
                </c:pt>
                <c:pt idx="43">
                  <c:v>0.62213758789940277</c:v>
                </c:pt>
                <c:pt idx="44">
                  <c:v>0.67866001454504177</c:v>
                </c:pt>
                <c:pt idx="45">
                  <c:v>0.73958343978958518</c:v>
                </c:pt>
                <c:pt idx="46">
                  <c:v>0.80501677653186066</c:v>
                </c:pt>
                <c:pt idx="47">
                  <c:v>0.87494533892001913</c:v>
                </c:pt>
                <c:pt idx="48">
                  <c:v>0.94967136282568976</c:v>
                </c:pt>
                <c:pt idx="49">
                  <c:v>1.0285666904626394</c:v>
                </c:pt>
                <c:pt idx="50">
                  <c:v>1.1112398175465577</c:v>
                </c:pt>
                <c:pt idx="51">
                  <c:v>1.1973880571156812</c:v>
                </c:pt>
                <c:pt idx="52">
                  <c:v>1.2856626702418208</c:v>
                </c:pt>
                <c:pt idx="53">
                  <c:v>1.3748410505739785</c:v>
                </c:pt>
                <c:pt idx="54">
                  <c:v>1.4627585894387218</c:v>
                </c:pt>
                <c:pt idx="55">
                  <c:v>1.5470896056958083</c:v>
                </c:pt>
                <c:pt idx="56">
                  <c:v>1.6245639770565192</c:v>
                </c:pt>
                <c:pt idx="57">
                  <c:v>1.6912341953370142</c:v>
                </c:pt>
                <c:pt idx="58">
                  <c:v>1.7423188940586471</c:v>
                </c:pt>
                <c:pt idx="59">
                  <c:v>1.7726444935997199</c:v>
                </c:pt>
                <c:pt idx="60">
                  <c:v>1.776454851471434</c:v>
                </c:pt>
                <c:pt idx="61">
                  <c:v>1.7483875794654873</c:v>
                </c:pt>
                <c:pt idx="62">
                  <c:v>1.6833583226168534</c:v>
                </c:pt>
                <c:pt idx="63">
                  <c:v>1.5788651635121838</c:v>
                </c:pt>
                <c:pt idx="64">
                  <c:v>1.4352818238033689</c:v>
                </c:pt>
                <c:pt idx="65">
                  <c:v>1.2558617579552547</c:v>
                </c:pt>
                <c:pt idx="66">
                  <c:v>1.0497523544249014</c:v>
                </c:pt>
                <c:pt idx="67">
                  <c:v>0.8298766084830077</c:v>
                </c:pt>
                <c:pt idx="68">
                  <c:v>0.61492525454202207</c:v>
                </c:pt>
                <c:pt idx="69">
                  <c:v>0.42073140688484945</c:v>
                </c:pt>
                <c:pt idx="70">
                  <c:v>0.26147602302432077</c:v>
                </c:pt>
                <c:pt idx="71">
                  <c:v>0.14477875907865953</c:v>
                </c:pt>
                <c:pt idx="72">
                  <c:v>6.9823060882373611E-2</c:v>
                </c:pt>
                <c:pt idx="73">
                  <c:v>2.8485091102377499E-2</c:v>
                </c:pt>
                <c:pt idx="74">
                  <c:v>9.5262905155599209E-3</c:v>
                </c:pt>
                <c:pt idx="75">
                  <c:v>2.5010425453516399E-3</c:v>
                </c:pt>
                <c:pt idx="76">
                  <c:v>4.9182109732712328E-4</c:v>
                </c:pt>
                <c:pt idx="77">
                  <c:v>6.8959337322464898E-5</c:v>
                </c:pt>
                <c:pt idx="78">
                  <c:v>6.8412569742722822E-6</c:v>
                </c:pt>
                <c:pt idx="79">
                  <c:v>9.227730682131477E-7</c:v>
                </c:pt>
                <c:pt idx="80">
                  <c:v>5.3875203311531019E-7</c:v>
                </c:pt>
                <c:pt idx="81">
                  <c:v>4.8153791782897894E-7</c:v>
                </c:pt>
                <c:pt idx="82">
                  <c:v>4.3852631649967948E-7</c:v>
                </c:pt>
                <c:pt idx="83">
                  <c:v>3.9947808230310603E-7</c:v>
                </c:pt>
                <c:pt idx="84">
                  <c:v>3.6387678143929026E-7</c:v>
                </c:pt>
                <c:pt idx="85">
                  <c:v>3.3142267280063316E-7</c:v>
                </c:pt>
                <c:pt idx="86">
                  <c:v>3.0203496769268849E-7</c:v>
                </c:pt>
                <c:pt idx="87">
                  <c:v>2.7515160245351829E-7</c:v>
                </c:pt>
                <c:pt idx="88">
                  <c:v>2.5059705033304353E-7</c:v>
                </c:pt>
                <c:pt idx="89">
                  <c:v>2.2821024983030294E-7</c:v>
                </c:pt>
                <c:pt idx="90">
                  <c:v>2.0795537911870591E-7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</c:numCache>
            </c:numRef>
          </c:yVal>
          <c:smooth val="1"/>
        </c:ser>
        <c:ser>
          <c:idx val="2"/>
          <c:order val="2"/>
          <c:tx>
            <c:v>Moda 1</c:v>
          </c:tx>
          <c:spPr>
            <a:ln w="19050"/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Weibull!$C$2:$C$101</c:f>
              <c:numCache>
                <c:formatCode>General</c:formatCode>
                <c:ptCount val="100"/>
                <c:pt idx="0">
                  <c:v>1.2441916245172612E-2</c:v>
                </c:pt>
                <c:pt idx="1">
                  <c:v>1.3661526354126416E-2</c:v>
                </c:pt>
                <c:pt idx="2">
                  <c:v>1.4879039559692117E-2</c:v>
                </c:pt>
                <c:pt idx="3">
                  <c:v>1.639824955093E-2</c:v>
                </c:pt>
                <c:pt idx="4">
                  <c:v>1.7914745025568724E-2</c:v>
                </c:pt>
                <c:pt idx="5">
                  <c:v>1.9731286915105742E-2</c:v>
                </c:pt>
                <c:pt idx="6">
                  <c:v>2.154459682448516E-2</c:v>
                </c:pt>
                <c:pt idx="7">
                  <c:v>2.3656409892891458E-2</c:v>
                </c:pt>
                <c:pt idx="8">
                  <c:v>2.576456928382018E-2</c:v>
                </c:pt>
                <c:pt idx="9">
                  <c:v>2.8470176264657216E-2</c:v>
                </c:pt>
                <c:pt idx="10">
                  <c:v>3.1170778556614844E-2</c:v>
                </c:pt>
                <c:pt idx="11">
                  <c:v>3.4166108875707729E-2</c:v>
                </c:pt>
                <c:pt idx="12">
                  <c:v>3.7156297479048583E-2</c:v>
                </c:pt>
                <c:pt idx="13">
                  <c:v>4.0738314019179767E-2</c:v>
                </c:pt>
                <c:pt idx="14">
                  <c:v>4.49095101301977E-2</c:v>
                </c:pt>
                <c:pt idx="15">
                  <c:v>4.9073011233935107E-2</c:v>
                </c:pt>
                <c:pt idx="16">
                  <c:v>5.3822683329392038E-2</c:v>
                </c:pt>
                <c:pt idx="17">
                  <c:v>5.8859969538673319E-2</c:v>
                </c:pt>
                <c:pt idx="18">
                  <c:v>6.4479530566899909E-2</c:v>
                </c:pt>
                <c:pt idx="19">
                  <c:v>7.0678931932374428E-2</c:v>
                </c:pt>
                <c:pt idx="20">
                  <c:v>7.7455771292463893E-2</c:v>
                </c:pt>
                <c:pt idx="21">
                  <c:v>8.5101462385480039E-2</c:v>
                </c:pt>
                <c:pt idx="22">
                  <c:v>9.3025521332567446E-2</c:v>
                </c:pt>
                <c:pt idx="23">
                  <c:v>0.10210518847213977</c:v>
                </c:pt>
                <c:pt idx="24">
                  <c:v>0.11175054124928109</c:v>
                </c:pt>
                <c:pt idx="25">
                  <c:v>0.12254193051636163</c:v>
                </c:pt>
                <c:pt idx="26">
                  <c:v>0.13418241733615571</c:v>
                </c:pt>
                <c:pt idx="27">
                  <c:v>0.14695753313766138</c:v>
                </c:pt>
                <c:pt idx="28">
                  <c:v>0.16114979395793569</c:v>
                </c:pt>
                <c:pt idx="29">
                  <c:v>0.17646125251532641</c:v>
                </c:pt>
                <c:pt idx="30">
                  <c:v>0.19317188912184491</c:v>
                </c:pt>
                <c:pt idx="31">
                  <c:v>0.21184453567126141</c:v>
                </c:pt>
                <c:pt idx="32">
                  <c:v>0.23188995229797305</c:v>
                </c:pt>
                <c:pt idx="33">
                  <c:v>0.25386451004482102</c:v>
                </c:pt>
                <c:pt idx="34">
                  <c:v>0.27803056748067212</c:v>
                </c:pt>
                <c:pt idx="35">
                  <c:v>0.30464275122792095</c:v>
                </c:pt>
                <c:pt idx="36">
                  <c:v>0.33338399897738291</c:v>
                </c:pt>
                <c:pt idx="37">
                  <c:v>0.36477652435616426</c:v>
                </c:pt>
                <c:pt idx="38">
                  <c:v>0.39904544880677323</c:v>
                </c:pt>
                <c:pt idx="39">
                  <c:v>0.43667499322713005</c:v>
                </c:pt>
                <c:pt idx="40">
                  <c:v>0.47729955281130604</c:v>
                </c:pt>
                <c:pt idx="41">
                  <c:v>0.52190071623331724</c:v>
                </c:pt>
                <c:pt idx="42">
                  <c:v>0.57005635541506805</c:v>
                </c:pt>
                <c:pt idx="43">
                  <c:v>0.62212093099704291</c:v>
                </c:pt>
                <c:pt idx="44">
                  <c:v>0.67864484201239783</c:v>
                </c:pt>
                <c:pt idx="45">
                  <c:v>0.73956961863238435</c:v>
                </c:pt>
                <c:pt idx="46">
                  <c:v>0.80500418561470966</c:v>
                </c:pt>
                <c:pt idx="47">
                  <c:v>0.87493386726773226</c:v>
                </c:pt>
                <c:pt idx="48">
                  <c:v>0.94966091446355594</c:v>
                </c:pt>
                <c:pt idx="49">
                  <c:v>1.0285571722400733</c:v>
                </c:pt>
                <c:pt idx="50">
                  <c:v>1.111231145384157</c:v>
                </c:pt>
                <c:pt idx="51">
                  <c:v>1.1973801578642562</c:v>
                </c:pt>
                <c:pt idx="52">
                  <c:v>1.2856554741498796</c:v>
                </c:pt>
                <c:pt idx="53">
                  <c:v>1.3748344956694851</c:v>
                </c:pt>
                <c:pt idx="54">
                  <c:v>1.4627526177001746</c:v>
                </c:pt>
                <c:pt idx="55">
                  <c:v>1.5470841656237126</c:v>
                </c:pt>
                <c:pt idx="56">
                  <c:v>1.6245590214201058</c:v>
                </c:pt>
                <c:pt idx="57">
                  <c:v>1.6912296812045093</c:v>
                </c:pt>
                <c:pt idx="58">
                  <c:v>1.7423147816282565</c:v>
                </c:pt>
                <c:pt idx="59">
                  <c:v>1.7726407475962254</c:v>
                </c:pt>
                <c:pt idx="60">
                  <c:v>1.7764514396876334</c:v>
                </c:pt>
                <c:pt idx="61">
                  <c:v>1.748384470440894</c:v>
                </c:pt>
                <c:pt idx="62">
                  <c:v>1.6833554911722193</c:v>
                </c:pt>
                <c:pt idx="63">
                  <c:v>1.5788625841897936</c:v>
                </c:pt>
                <c:pt idx="64">
                  <c:v>1.435279473530167</c:v>
                </c:pt>
                <c:pt idx="65">
                  <c:v>1.2558596169550003</c:v>
                </c:pt>
                <c:pt idx="66">
                  <c:v>1.0497504041087917</c:v>
                </c:pt>
                <c:pt idx="67">
                  <c:v>0.829874832359909</c:v>
                </c:pt>
                <c:pt idx="68">
                  <c:v>0.61492363623922752</c:v>
                </c:pt>
                <c:pt idx="69">
                  <c:v>0.420729932555997</c:v>
                </c:pt>
                <c:pt idx="70">
                  <c:v>0.26147468001752056</c:v>
                </c:pt>
                <c:pt idx="71">
                  <c:v>0.14477753575387628</c:v>
                </c:pt>
                <c:pt idx="72">
                  <c:v>6.9821946499936047E-2</c:v>
                </c:pt>
                <c:pt idx="73">
                  <c:v>2.848407603281641E-2</c:v>
                </c:pt>
                <c:pt idx="74">
                  <c:v>9.5253657683180074E-3</c:v>
                </c:pt>
                <c:pt idx="75">
                  <c:v>2.5002001652670329E-3</c:v>
                </c:pt>
                <c:pt idx="76">
                  <c:v>4.9105374230991783E-4</c:v>
                </c:pt>
                <c:pt idx="77">
                  <c:v>6.8260226173787612E-5</c:v>
                </c:pt>
                <c:pt idx="78">
                  <c:v>6.204465793946148E-6</c:v>
                </c:pt>
                <c:pt idx="79">
                  <c:v>3.4261864346684177E-7</c:v>
                </c:pt>
                <c:pt idx="80">
                  <c:v>1.0268682336180311E-8</c:v>
                </c:pt>
                <c:pt idx="81">
                  <c:v>1.4786071860636339E-10</c:v>
                </c:pt>
                <c:pt idx="82">
                  <c:v>8.8712456570067993E-13</c:v>
                </c:pt>
                <c:pt idx="83">
                  <c:v>1.8501853645361149E-15</c:v>
                </c:pt>
                <c:pt idx="84">
                  <c:v>1.0744337478824529E-18</c:v>
                </c:pt>
                <c:pt idx="85">
                  <c:v>1.3372841439941844E-22</c:v>
                </c:pt>
                <c:pt idx="86">
                  <c:v>2.8229337500397392E-27</c:v>
                </c:pt>
                <c:pt idx="87">
                  <c:v>6.2877268673162908E-33</c:v>
                </c:pt>
                <c:pt idx="88">
                  <c:v>9.3628379499219622E-40</c:v>
                </c:pt>
                <c:pt idx="89">
                  <c:v>5.4635397081123672E-48</c:v>
                </c:pt>
                <c:pt idx="90">
                  <c:v>7.8007880997568312E-58</c:v>
                </c:pt>
                <c:pt idx="91">
                  <c:v>9.9403743100625681E-70</c:v>
                </c:pt>
                <c:pt idx="92">
                  <c:v>4.7108244050242154E-84</c:v>
                </c:pt>
                <c:pt idx="93">
                  <c:v>3.0336179421444015E-101</c:v>
                </c:pt>
                <c:pt idx="94">
                  <c:v>5.4209149449406159E-122</c:v>
                </c:pt>
                <c:pt idx="95">
                  <c:v>5.0258992663246905E-147</c:v>
                </c:pt>
                <c:pt idx="96">
                  <c:v>5.7185799231940291E-177</c:v>
                </c:pt>
                <c:pt idx="97">
                  <c:v>3.9547996430433114E-213</c:v>
                </c:pt>
                <c:pt idx="98">
                  <c:v>1.4816995751351863E-256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Moda 2</c:v>
          </c:tx>
          <c:spPr>
            <a:ln w="19050"/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Weibull!$E$2:$E$101</c:f>
              <c:numCache>
                <c:formatCode>General</c:formatCode>
                <c:ptCount val="100"/>
                <c:pt idx="0">
                  <c:v>9.1697192449751721E-4</c:v>
                </c:pt>
                <c:pt idx="1">
                  <c:v>8.3367015551794586E-4</c:v>
                </c:pt>
                <c:pt idx="2">
                  <c:v>7.6424672261460748E-4</c:v>
                </c:pt>
                <c:pt idx="3">
                  <c:v>6.9219800796109271E-4</c:v>
                </c:pt>
                <c:pt idx="4">
                  <c:v>6.3256686315646545E-4</c:v>
                </c:pt>
                <c:pt idx="5">
                  <c:v>5.7330389729063594E-4</c:v>
                </c:pt>
                <c:pt idx="6">
                  <c:v>5.241965946008346E-4</c:v>
                </c:pt>
                <c:pt idx="7">
                  <c:v>4.7657390806092522E-4</c:v>
                </c:pt>
                <c:pt idx="8">
                  <c:v>4.3688549687533626E-4</c:v>
                </c:pt>
                <c:pt idx="9">
                  <c:v>3.9463346001500843E-4</c:v>
                </c:pt>
                <c:pt idx="10">
                  <c:v>3.5983507241035427E-4</c:v>
                </c:pt>
                <c:pt idx="11">
                  <c:v>3.2772715727841738E-4</c:v>
                </c:pt>
                <c:pt idx="12">
                  <c:v>3.0088103224297562E-4</c:v>
                </c:pt>
                <c:pt idx="13">
                  <c:v>2.7395298372524183E-4</c:v>
                </c:pt>
                <c:pt idx="14">
                  <c:v>2.480541345514944E-4</c:v>
                </c:pt>
                <c:pt idx="15">
                  <c:v>2.2663015740195748E-4</c:v>
                </c:pt>
                <c:pt idx="16">
                  <c:v>2.0627087936593954E-4</c:v>
                </c:pt>
                <c:pt idx="17">
                  <c:v>1.8829872461325402E-4</c:v>
                </c:pt>
                <c:pt idx="18">
                  <c:v>1.7159016781568626E-4</c:v>
                </c:pt>
                <c:pt idx="19">
                  <c:v>1.5626521020465091E-4</c:v>
                </c:pt>
                <c:pt idx="20">
                  <c:v>1.4234231671353916E-4</c:v>
                </c:pt>
                <c:pt idx="21">
                  <c:v>1.293180846599717E-4</c:v>
                </c:pt>
                <c:pt idx="22">
                  <c:v>1.1809715711124493E-4</c:v>
                </c:pt>
                <c:pt idx="23">
                  <c:v>1.0739810550834156E-4</c:v>
                </c:pt>
                <c:pt idx="24">
                  <c:v>9.7951998242043427E-5</c:v>
                </c:pt>
                <c:pt idx="25">
                  <c:v>8.9159844662419386E-5</c:v>
                </c:pt>
                <c:pt idx="26">
                  <c:v>8.1273571411470907E-5</c:v>
                </c:pt>
                <c:pt idx="27">
                  <c:v>7.4067393547989736E-5</c:v>
                </c:pt>
                <c:pt idx="28">
                  <c:v>6.7411366267016467E-5</c:v>
                </c:pt>
                <c:pt idx="29">
                  <c:v>6.1439641284526464E-5</c:v>
                </c:pt>
                <c:pt idx="30">
                  <c:v>5.6010033767990263E-5</c:v>
                </c:pt>
                <c:pt idx="31">
                  <c:v>5.0962916195837951E-5</c:v>
                </c:pt>
                <c:pt idx="32">
                  <c:v>4.6454968880096987E-5</c:v>
                </c:pt>
                <c:pt idx="33">
                  <c:v>4.2335797447965226E-5</c:v>
                </c:pt>
                <c:pt idx="34">
                  <c:v>3.8561429823035514E-5</c:v>
                </c:pt>
                <c:pt idx="35">
                  <c:v>3.5100852956838365E-5</c:v>
                </c:pt>
                <c:pt idx="36">
                  <c:v>3.1986157327968722E-5</c:v>
                </c:pt>
                <c:pt idx="37">
                  <c:v>2.9146365549088753E-5</c:v>
                </c:pt>
                <c:pt idx="38">
                  <c:v>2.6557087917007652E-5</c:v>
                </c:pt>
                <c:pt idx="39">
                  <c:v>2.41818630544442E-5</c:v>
                </c:pt>
                <c:pt idx="40">
                  <c:v>2.2037057006645819E-5</c:v>
                </c:pt>
                <c:pt idx="41">
                  <c:v>2.0065050421783761E-5</c:v>
                </c:pt>
                <c:pt idx="42">
                  <c:v>1.8279709000641202E-5</c:v>
                </c:pt>
                <c:pt idx="43">
                  <c:v>1.6656902359851514E-5</c:v>
                </c:pt>
                <c:pt idx="44">
                  <c:v>1.5172532643898378E-5</c:v>
                </c:pt>
                <c:pt idx="45">
                  <c:v>1.3821157200787723E-5</c:v>
                </c:pt>
                <c:pt idx="46">
                  <c:v>1.2590917150987843E-5</c:v>
                </c:pt>
                <c:pt idx="47">
                  <c:v>1.1471652286926823E-5</c:v>
                </c:pt>
                <c:pt idx="48">
                  <c:v>1.0448362133830905E-5</c:v>
                </c:pt>
                <c:pt idx="49">
                  <c:v>9.5182225660438531E-6</c:v>
                </c:pt>
                <c:pt idx="50">
                  <c:v>8.6721624006127018E-6</c:v>
                </c:pt>
                <c:pt idx="51">
                  <c:v>7.8992514249666144E-6</c:v>
                </c:pt>
                <c:pt idx="52">
                  <c:v>7.1960919411658193E-6</c:v>
                </c:pt>
                <c:pt idx="53">
                  <c:v>6.5549044933083588E-6</c:v>
                </c:pt>
                <c:pt idx="54">
                  <c:v>5.9717385471191497E-6</c:v>
                </c:pt>
                <c:pt idx="55">
                  <c:v>5.4400720956689061E-6</c:v>
                </c:pt>
                <c:pt idx="56">
                  <c:v>4.9556364133865853E-6</c:v>
                </c:pt>
                <c:pt idx="57">
                  <c:v>4.5141325049904592E-6</c:v>
                </c:pt>
                <c:pt idx="58">
                  <c:v>4.1124303906305162E-6</c:v>
                </c:pt>
                <c:pt idx="59">
                  <c:v>3.746003494571596E-6</c:v>
                </c:pt>
                <c:pt idx="60">
                  <c:v>3.4117838006234063E-6</c:v>
                </c:pt>
                <c:pt idx="61">
                  <c:v>3.1090245932806114E-6</c:v>
                </c:pt>
                <c:pt idx="62">
                  <c:v>2.8314446340251234E-6</c:v>
                </c:pt>
                <c:pt idx="63">
                  <c:v>2.5793223900683667E-6</c:v>
                </c:pt>
                <c:pt idx="64">
                  <c:v>2.3502732017905188E-6</c:v>
                </c:pt>
                <c:pt idx="65">
                  <c:v>2.14100025444758E-6</c:v>
                </c:pt>
                <c:pt idx="66">
                  <c:v>1.9503161097909747E-6</c:v>
                </c:pt>
                <c:pt idx="67">
                  <c:v>1.776123098688092E-6</c:v>
                </c:pt>
                <c:pt idx="68">
                  <c:v>1.6183027944962031E-6</c:v>
                </c:pt>
                <c:pt idx="69">
                  <c:v>1.4743288524631526E-6</c:v>
                </c:pt>
                <c:pt idx="70">
                  <c:v>1.3430068001975385E-6</c:v>
                </c:pt>
                <c:pt idx="71">
                  <c:v>1.2233247832460284E-6</c:v>
                </c:pt>
                <c:pt idx="72">
                  <c:v>1.1143824375622251E-6</c:v>
                </c:pt>
                <c:pt idx="73">
                  <c:v>1.0150695610910781E-6</c:v>
                </c:pt>
                <c:pt idx="74">
                  <c:v>9.2474724191319222E-7</c:v>
                </c:pt>
                <c:pt idx="75">
                  <c:v>8.4238008460716046E-7</c:v>
                </c:pt>
                <c:pt idx="76">
                  <c:v>7.6735501720542639E-7</c:v>
                </c:pt>
                <c:pt idx="77">
                  <c:v>6.9911114867728532E-7</c:v>
                </c:pt>
                <c:pt idx="78">
                  <c:v>6.367911803261338E-7</c:v>
                </c:pt>
                <c:pt idx="79">
                  <c:v>5.8015442474630593E-7</c:v>
                </c:pt>
                <c:pt idx="80">
                  <c:v>5.2848335077912987E-7</c:v>
                </c:pt>
                <c:pt idx="81">
                  <c:v>4.8139005711037262E-7</c:v>
                </c:pt>
                <c:pt idx="82">
                  <c:v>4.3852542937511377E-7</c:v>
                </c:pt>
                <c:pt idx="83">
                  <c:v>3.9947808045292069E-7</c:v>
                </c:pt>
                <c:pt idx="84">
                  <c:v>3.6387678143821585E-7</c:v>
                </c:pt>
                <c:pt idx="85">
                  <c:v>3.31422672800633E-7</c:v>
                </c:pt>
                <c:pt idx="86">
                  <c:v>3.0203496769268849E-7</c:v>
                </c:pt>
                <c:pt idx="87">
                  <c:v>2.7515160245351829E-7</c:v>
                </c:pt>
                <c:pt idx="88">
                  <c:v>2.5059705033304353E-7</c:v>
                </c:pt>
                <c:pt idx="89">
                  <c:v>2.2821024983030294E-7</c:v>
                </c:pt>
                <c:pt idx="90">
                  <c:v>2.0795537911870591E-7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917760"/>
        <c:axId val="370919296"/>
      </c:scatterChart>
      <c:valAx>
        <c:axId val="370917760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919296"/>
        <c:crosses val="autoZero"/>
        <c:crossBetween val="midCat"/>
      </c:valAx>
      <c:valAx>
        <c:axId val="37091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91776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Normal!$C$2:$C$101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 formatCode="0.00E+00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Normal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Normal!$I$2:$I$101</c:f>
              <c:numCache>
                <c:formatCode>General</c:formatCode>
                <c:ptCount val="100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8.8451122804042066E-6</c:v>
                </c:pt>
                <c:pt idx="10">
                  <c:v>1.4314290504605203E-5</c:v>
                </c:pt>
                <c:pt idx="11">
                  <c:v>2.3078731871163335E-5</c:v>
                </c:pt>
                <c:pt idx="12">
                  <c:v>3.5413834065662085E-5</c:v>
                </c:pt>
                <c:pt idx="13">
                  <c:v>5.6114802329691744E-5</c:v>
                </c:pt>
                <c:pt idx="14">
                  <c:v>9.0394318358328864E-5</c:v>
                </c:pt>
                <c:pt idx="15">
                  <c:v>1.3813367505176327E-4</c:v>
                </c:pt>
                <c:pt idx="16">
                  <c:v>2.1280124548497326E-4</c:v>
                </c:pt>
                <c:pt idx="17">
                  <c:v>3.2033963799973561E-4</c:v>
                </c:pt>
                <c:pt idx="18">
                  <c:v>4.8139960600538745E-4</c:v>
                </c:pt>
                <c:pt idx="19">
                  <c:v>7.1837703545519203E-4</c:v>
                </c:pt>
                <c:pt idx="20">
                  <c:v>1.0605003786323527E-3</c:v>
                </c:pt>
                <c:pt idx="21">
                  <c:v>1.5668427187542733E-3</c:v>
                </c:pt>
                <c:pt idx="22">
                  <c:v>2.2450964638795292E-3</c:v>
                </c:pt>
                <c:pt idx="23">
                  <c:v>3.2386783648056363E-3</c:v>
                </c:pt>
                <c:pt idx="24">
                  <c:v>4.5755406445733464E-3</c:v>
                </c:pt>
                <c:pt idx="25">
                  <c:v>6.4488131169730878E-3</c:v>
                </c:pt>
                <c:pt idx="26">
                  <c:v>8.9541710105502208E-3</c:v>
                </c:pt>
                <c:pt idx="27">
                  <c:v>1.232354081404289E-2</c:v>
                </c:pt>
                <c:pt idx="28">
                  <c:v>1.6870151260915706E-2</c:v>
                </c:pt>
                <c:pt idx="29">
                  <c:v>2.2763693396431469E-2</c:v>
                </c:pt>
                <c:pt idx="30">
                  <c:v>3.0398968731031546E-2</c:v>
                </c:pt>
                <c:pt idx="31">
                  <c:v>4.0435392413845424E-2</c:v>
                </c:pt>
                <c:pt idx="32">
                  <c:v>5.2973209049479213E-2</c:v>
                </c:pt>
                <c:pt idx="33">
                  <c:v>6.8778296537838568E-2</c:v>
                </c:pt>
                <c:pt idx="34">
                  <c:v>8.8563478585618E-2</c:v>
                </c:pt>
                <c:pt idx="35">
                  <c:v>0.11311570694518276</c:v>
                </c:pt>
                <c:pt idx="36">
                  <c:v>0.1426618901122082</c:v>
                </c:pt>
                <c:pt idx="37">
                  <c:v>0.17821136016959949</c:v>
                </c:pt>
                <c:pt idx="38">
                  <c:v>0.22049960813087321</c:v>
                </c:pt>
                <c:pt idx="39">
                  <c:v>0.27056544811466715</c:v>
                </c:pt>
                <c:pt idx="40">
                  <c:v>0.32820047516967427</c:v>
                </c:pt>
                <c:pt idx="41">
                  <c:v>0.39493566274089476</c:v>
                </c:pt>
                <c:pt idx="42">
                  <c:v>0.47009914288666471</c:v>
                </c:pt>
                <c:pt idx="43">
                  <c:v>0.55393081259221177</c:v>
                </c:pt>
                <c:pt idx="44">
                  <c:v>0.64679726564537787</c:v>
                </c:pt>
                <c:pt idx="45">
                  <c:v>0.74782656397396718</c:v>
                </c:pt>
                <c:pt idx="46">
                  <c:v>0.85616020636315215</c:v>
                </c:pt>
                <c:pt idx="47">
                  <c:v>0.97051344106150561</c:v>
                </c:pt>
                <c:pt idx="48">
                  <c:v>1.0899294632808472</c:v>
                </c:pt>
                <c:pt idx="49">
                  <c:v>1.2118486316777046</c:v>
                </c:pt>
                <c:pt idx="50">
                  <c:v>1.334135312465728</c:v>
                </c:pt>
                <c:pt idx="51">
                  <c:v>1.4548865565554916</c:v>
                </c:pt>
                <c:pt idx="52">
                  <c:v>1.5710006828066312</c:v>
                </c:pt>
                <c:pt idx="53">
                  <c:v>1.6800731582259951</c:v>
                </c:pt>
                <c:pt idx="54">
                  <c:v>1.7792272395591322</c:v>
                </c:pt>
                <c:pt idx="55">
                  <c:v>1.8663554340543984</c:v>
                </c:pt>
                <c:pt idx="56">
                  <c:v>1.9395290034136075</c:v>
                </c:pt>
                <c:pt idx="57">
                  <c:v>1.997720560576004</c:v>
                </c:pt>
                <c:pt idx="58">
                  <c:v>2.0411271305733401</c:v>
                </c:pt>
                <c:pt idx="59">
                  <c:v>2.072059608204972</c:v>
                </c:pt>
                <c:pt idx="60">
                  <c:v>2.0952660854460072</c:v>
                </c:pt>
                <c:pt idx="61">
                  <c:v>2.1184342924631805</c:v>
                </c:pt>
                <c:pt idx="62">
                  <c:v>2.1527041705888545</c:v>
                </c:pt>
                <c:pt idx="63">
                  <c:v>2.2105548918654772</c:v>
                </c:pt>
                <c:pt idx="64">
                  <c:v>2.303852743759855</c:v>
                </c:pt>
                <c:pt idx="65">
                  <c:v>2.440797649959864</c:v>
                </c:pt>
                <c:pt idx="66">
                  <c:v>2.6200696057365347</c:v>
                </c:pt>
                <c:pt idx="67">
                  <c:v>2.828690604959434</c:v>
                </c:pt>
                <c:pt idx="68">
                  <c:v>3.0379804112350612</c:v>
                </c:pt>
                <c:pt idx="69">
                  <c:v>3.2124656024548557</c:v>
                </c:pt>
                <c:pt idx="70">
                  <c:v>3.3123046633169997</c:v>
                </c:pt>
                <c:pt idx="71">
                  <c:v>3.304360183708694</c:v>
                </c:pt>
                <c:pt idx="72">
                  <c:v>3.1718012184300517</c:v>
                </c:pt>
                <c:pt idx="73">
                  <c:v>2.9186805405589924</c:v>
                </c:pt>
                <c:pt idx="74">
                  <c:v>2.5703825782306255</c:v>
                </c:pt>
                <c:pt idx="75">
                  <c:v>2.1647973538135918</c:v>
                </c:pt>
                <c:pt idx="76">
                  <c:v>1.7455781734897104</c:v>
                </c:pt>
                <c:pt idx="77">
                  <c:v>1.3516160550812459</c:v>
                </c:pt>
                <c:pt idx="78">
                  <c:v>1.0082654175767698</c:v>
                </c:pt>
                <c:pt idx="79">
                  <c:v>0.73024072171521726</c:v>
                </c:pt>
                <c:pt idx="80">
                  <c:v>0.51723662449076024</c:v>
                </c:pt>
                <c:pt idx="81">
                  <c:v>0.36208437494797435</c:v>
                </c:pt>
                <c:pt idx="82">
                  <c:v>0.25337446053667034</c:v>
                </c:pt>
                <c:pt idx="83">
                  <c:v>0.17888385001507762</c:v>
                </c:pt>
                <c:pt idx="84">
                  <c:v>0.12815236498454813</c:v>
                </c:pt>
                <c:pt idx="85">
                  <c:v>9.3293197965913024E-2</c:v>
                </c:pt>
                <c:pt idx="86">
                  <c:v>6.896673954502322E-2</c:v>
                </c:pt>
                <c:pt idx="87">
                  <c:v>5.1350396628914767E-2</c:v>
                </c:pt>
                <c:pt idx="88">
                  <c:v>3.8314925590183894E-2</c:v>
                </c:pt>
                <c:pt idx="89">
                  <c:v>2.8530270264869304E-2</c:v>
                </c:pt>
                <c:pt idx="90">
                  <c:v>2.1180365380479214E-2</c:v>
                </c:pt>
                <c:pt idx="91">
                  <c:v>1.5593341466752389E-2</c:v>
                </c:pt>
                <c:pt idx="92">
                  <c:v>1.1382128905378205E-2</c:v>
                </c:pt>
                <c:pt idx="93">
                  <c:v>8.240006490420693E-3</c:v>
                </c:pt>
                <c:pt idx="94">
                  <c:v>5.9034322428135827E-3</c:v>
                </c:pt>
                <c:pt idx="95">
                  <c:v>4.1855569406361384E-3</c:v>
                </c:pt>
                <c:pt idx="96">
                  <c:v>2.9449925642470931E-3</c:v>
                </c:pt>
                <c:pt idx="97">
                  <c:v>2.049324092522186E-3</c:v>
                </c:pt>
                <c:pt idx="98">
                  <c:v>1.4131961888634256E-3</c:v>
                </c:pt>
                <c:pt idx="99">
                  <c:v>9.6452762772816292E-4</c:v>
                </c:pt>
              </c:numCache>
            </c:numRef>
          </c:yVal>
          <c:smooth val="1"/>
        </c:ser>
        <c:ser>
          <c:idx val="2"/>
          <c:order val="2"/>
          <c:tx>
            <c:v>Moda 1</c:v>
          </c:tx>
          <c:spPr>
            <a:ln w="19050"/>
          </c:spPr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Normal!$D$2:$D$101</c:f>
              <c:numCache>
                <c:formatCode>General</c:formatCode>
                <c:ptCount val="100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8.8451122804042066E-6</c:v>
                </c:pt>
                <c:pt idx="10">
                  <c:v>1.4314290504605203E-5</c:v>
                </c:pt>
                <c:pt idx="11">
                  <c:v>2.3078731871163335E-5</c:v>
                </c:pt>
                <c:pt idx="12">
                  <c:v>3.5413834065662085E-5</c:v>
                </c:pt>
                <c:pt idx="13">
                  <c:v>5.6114802329691744E-5</c:v>
                </c:pt>
                <c:pt idx="14">
                  <c:v>9.0394318358328864E-5</c:v>
                </c:pt>
                <c:pt idx="15">
                  <c:v>1.3813367505176327E-4</c:v>
                </c:pt>
                <c:pt idx="16">
                  <c:v>2.1280124548497326E-4</c:v>
                </c:pt>
                <c:pt idx="17">
                  <c:v>3.2033963799973561E-4</c:v>
                </c:pt>
                <c:pt idx="18">
                  <c:v>4.8139960600538745E-4</c:v>
                </c:pt>
                <c:pt idx="19">
                  <c:v>7.1837703545519203E-4</c:v>
                </c:pt>
                <c:pt idx="20">
                  <c:v>1.0605003786323527E-3</c:v>
                </c:pt>
                <c:pt idx="21">
                  <c:v>1.5668427187542733E-3</c:v>
                </c:pt>
                <c:pt idx="22">
                  <c:v>2.2450964638795292E-3</c:v>
                </c:pt>
                <c:pt idx="23">
                  <c:v>3.2386783648056363E-3</c:v>
                </c:pt>
                <c:pt idx="24">
                  <c:v>4.5755406445733464E-3</c:v>
                </c:pt>
                <c:pt idx="25">
                  <c:v>6.4488131169730878E-3</c:v>
                </c:pt>
                <c:pt idx="26">
                  <c:v>8.9541710105502208E-3</c:v>
                </c:pt>
                <c:pt idx="27">
                  <c:v>1.232354081404289E-2</c:v>
                </c:pt>
                <c:pt idx="28">
                  <c:v>1.6870151260915706E-2</c:v>
                </c:pt>
                <c:pt idx="29">
                  <c:v>2.2763693396431469E-2</c:v>
                </c:pt>
                <c:pt idx="30">
                  <c:v>3.0398968731031546E-2</c:v>
                </c:pt>
                <c:pt idx="31">
                  <c:v>4.0435392413845424E-2</c:v>
                </c:pt>
                <c:pt idx="32">
                  <c:v>5.2973209049479213E-2</c:v>
                </c:pt>
                <c:pt idx="33">
                  <c:v>6.8778296537838568E-2</c:v>
                </c:pt>
                <c:pt idx="34">
                  <c:v>8.8563478585618E-2</c:v>
                </c:pt>
                <c:pt idx="35">
                  <c:v>0.11311570694518272</c:v>
                </c:pt>
                <c:pt idx="36">
                  <c:v>0.14266189011220787</c:v>
                </c:pt>
                <c:pt idx="37">
                  <c:v>0.17821136016959704</c:v>
                </c:pt>
                <c:pt idx="38">
                  <c:v>0.22049960813085565</c:v>
                </c:pt>
                <c:pt idx="39">
                  <c:v>0.27056544811454669</c:v>
                </c:pt>
                <c:pt idx="40">
                  <c:v>0.32820047516890732</c:v>
                </c:pt>
                <c:pt idx="41">
                  <c:v>0.39493566273621067</c:v>
                </c:pt>
                <c:pt idx="42">
                  <c:v>0.4700991428599679</c:v>
                </c:pt>
                <c:pt idx="43">
                  <c:v>0.55393081244921916</c:v>
                </c:pt>
                <c:pt idx="44">
                  <c:v>0.64679726491799283</c:v>
                </c:pt>
                <c:pt idx="45">
                  <c:v>0.74782656048671736</c:v>
                </c:pt>
                <c:pt idx="46">
                  <c:v>0.85616019060712434</c:v>
                </c:pt>
                <c:pt idx="47">
                  <c:v>0.97051337403234794</c:v>
                </c:pt>
                <c:pt idx="48">
                  <c:v>1.0899291928902108</c:v>
                </c:pt>
                <c:pt idx="49">
                  <c:v>1.2118476057559602</c:v>
                </c:pt>
                <c:pt idx="50">
                  <c:v>1.3341316474188767</c:v>
                </c:pt>
                <c:pt idx="51">
                  <c:v>1.4548741611133436</c:v>
                </c:pt>
                <c:pt idx="52">
                  <c:v>1.5709611963156418</c:v>
                </c:pt>
                <c:pt idx="53">
                  <c:v>1.679954359955496</c:v>
                </c:pt>
                <c:pt idx="54">
                  <c:v>1.7788906347939708</c:v>
                </c:pt>
                <c:pt idx="55">
                  <c:v>1.8654549481169489</c:v>
                </c:pt>
                <c:pt idx="56">
                  <c:v>1.9372559101927975</c:v>
                </c:pt>
                <c:pt idx="57">
                  <c:v>1.9923052653247617</c:v>
                </c:pt>
                <c:pt idx="58">
                  <c:v>2.028968764462534</c:v>
                </c:pt>
                <c:pt idx="59">
                  <c:v>2.0462800772086251</c:v>
                </c:pt>
                <c:pt idx="60">
                  <c:v>2.0436563667220904</c:v>
                </c:pt>
                <c:pt idx="61">
                  <c:v>2.0213193569238292</c:v>
                </c:pt>
                <c:pt idx="62">
                  <c:v>1.979630062561613</c:v>
                </c:pt>
                <c:pt idx="63">
                  <c:v>1.9200631913662973</c:v>
                </c:pt>
                <c:pt idx="64">
                  <c:v>1.844445806797929</c:v>
                </c:pt>
                <c:pt idx="65">
                  <c:v>1.7544308366892705</c:v>
                </c:pt>
                <c:pt idx="66">
                  <c:v>1.6525824316778175</c:v>
                </c:pt>
                <c:pt idx="67">
                  <c:v>1.5411877996674956</c:v>
                </c:pt>
                <c:pt idx="68">
                  <c:v>1.4239079038187694</c:v>
                </c:pt>
                <c:pt idx="69">
                  <c:v>1.3026809252384126</c:v>
                </c:pt>
                <c:pt idx="70">
                  <c:v>1.1800743159196077</c:v>
                </c:pt>
                <c:pt idx="71">
                  <c:v>1.0585638295245436</c:v>
                </c:pt>
                <c:pt idx="72">
                  <c:v>0.94041574199993361</c:v>
                </c:pt>
                <c:pt idx="73">
                  <c:v>0.82725942764330207</c:v>
                </c:pt>
                <c:pt idx="74">
                  <c:v>0.72081007433876076</c:v>
                </c:pt>
                <c:pt idx="75">
                  <c:v>0.62187285378541157</c:v>
                </c:pt>
                <c:pt idx="76">
                  <c:v>0.53131224101151875</c:v>
                </c:pt>
                <c:pt idx="77">
                  <c:v>0.44964980623178014</c:v>
                </c:pt>
                <c:pt idx="78">
                  <c:v>0.37668787387824676</c:v>
                </c:pt>
                <c:pt idx="79">
                  <c:v>0.31263714208548649</c:v>
                </c:pt>
                <c:pt idx="80">
                  <c:v>0.25689031449465988</c:v>
                </c:pt>
                <c:pt idx="81">
                  <c:v>0.20901064667815661</c:v>
                </c:pt>
                <c:pt idx="82">
                  <c:v>0.16843141172614118</c:v>
                </c:pt>
                <c:pt idx="83">
                  <c:v>0.13441396499710268</c:v>
                </c:pt>
                <c:pt idx="84">
                  <c:v>0.10620294174198158</c:v>
                </c:pt>
                <c:pt idx="85">
                  <c:v>8.3080073017070571E-2</c:v>
                </c:pt>
                <c:pt idx="86">
                  <c:v>6.446094139930035E-2</c:v>
                </c:pt>
                <c:pt idx="87">
                  <c:v>4.9480771144003281E-2</c:v>
                </c:pt>
                <c:pt idx="88">
                  <c:v>3.7584931582642381E-2</c:v>
                </c:pt>
                <c:pt idx="89">
                  <c:v>2.8261744197170497E-2</c:v>
                </c:pt>
                <c:pt idx="90">
                  <c:v>2.1086522996661729E-2</c:v>
                </c:pt>
                <c:pt idx="91">
                  <c:v>1.5562527409024286E-2</c:v>
                </c:pt>
                <c:pt idx="92">
                  <c:v>1.1372588494246326E-2</c:v>
                </c:pt>
                <c:pt idx="93">
                  <c:v>8.2372105889322797E-3</c:v>
                </c:pt>
                <c:pt idx="94">
                  <c:v>5.9026620747873928E-3</c:v>
                </c:pt>
                <c:pt idx="95">
                  <c:v>4.1853574331461646E-3</c:v>
                </c:pt>
                <c:pt idx="96">
                  <c:v>2.9449434085023702E-3</c:v>
                </c:pt>
                <c:pt idx="97">
                  <c:v>2.0493127270249361E-3</c:v>
                </c:pt>
                <c:pt idx="98">
                  <c:v>1.4131937027913439E-3</c:v>
                </c:pt>
                <c:pt idx="99">
                  <c:v>9.6452711588775584E-4</c:v>
                </c:pt>
              </c:numCache>
            </c:numRef>
          </c:yVal>
          <c:smooth val="1"/>
        </c:ser>
        <c:ser>
          <c:idx val="3"/>
          <c:order val="3"/>
          <c:tx>
            <c:v>Moda 2</c:v>
          </c:tx>
          <c:spPr>
            <a:ln w="19050"/>
          </c:spPr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Normal!$F$2:$F$101</c:f>
              <c:numCache>
                <c:formatCode>General</c:formatCode>
                <c:ptCount val="100"/>
                <c:pt idx="0">
                  <c:v>7.5677574615342769E-65</c:v>
                </c:pt>
                <c:pt idx="1">
                  <c:v>5.1460063187853888E-63</c:v>
                </c:pt>
                <c:pt idx="2">
                  <c:v>2.2979798658382978E-61</c:v>
                </c:pt>
                <c:pt idx="3">
                  <c:v>1.6347590505865137E-59</c:v>
                </c:pt>
                <c:pt idx="4">
                  <c:v>7.4758305626498458E-58</c:v>
                </c:pt>
                <c:pt idx="5">
                  <c:v>4.56580737797231E-56</c:v>
                </c:pt>
                <c:pt idx="6">
                  <c:v>1.8227151754895603E-54</c:v>
                </c:pt>
                <c:pt idx="7">
                  <c:v>8.6716951270220273E-53</c:v>
                </c:pt>
                <c:pt idx="8">
                  <c:v>2.794913298453136E-51</c:v>
                </c:pt>
                <c:pt idx="9">
                  <c:v>1.5231327598564333E-49</c:v>
                </c:pt>
                <c:pt idx="10">
                  <c:v>5.4014170341278655E-48</c:v>
                </c:pt>
                <c:pt idx="11">
                  <c:v>1.8894496314526013E-46</c:v>
                </c:pt>
                <c:pt idx="12">
                  <c:v>4.6320893848619996E-45</c:v>
                </c:pt>
                <c:pt idx="13">
                  <c:v>1.4640065071065527E-43</c:v>
                </c:pt>
                <c:pt idx="14">
                  <c:v>5.3232077573342109E-42</c:v>
                </c:pt>
                <c:pt idx="15">
                  <c:v>1.3203905185851315E-40</c:v>
                </c:pt>
                <c:pt idx="16">
                  <c:v>3.5369670666840933E-39</c:v>
                </c:pt>
                <c:pt idx="17">
                  <c:v>8.070913753024162E-38</c:v>
                </c:pt>
                <c:pt idx="18">
                  <c:v>1.8472528774594925E-36</c:v>
                </c:pt>
                <c:pt idx="19">
                  <c:v>4.0736988370180799E-35</c:v>
                </c:pt>
                <c:pt idx="20">
                  <c:v>8.407840009564311E-34</c:v>
                </c:pt>
                <c:pt idx="21">
                  <c:v>1.7787586869079865E-32</c:v>
                </c:pt>
                <c:pt idx="22">
                  <c:v>3.0140346554927101E-31</c:v>
                </c:pt>
                <c:pt idx="23">
                  <c:v>5.4869253575492213E-30</c:v>
                </c:pt>
                <c:pt idx="24">
                  <c:v>8.6287674648357653E-29</c:v>
                </c:pt>
                <c:pt idx="25">
                  <c:v>1.3578025464042428E-27</c:v>
                </c:pt>
                <c:pt idx="26">
                  <c:v>1.9331439038724516E-26</c:v>
                </c:pt>
                <c:pt idx="27">
                  <c:v>2.6154816655846862E-25</c:v>
                </c:pt>
                <c:pt idx="28">
                  <c:v>3.4612690355424573E-24</c:v>
                </c:pt>
                <c:pt idx="29">
                  <c:v>4.158667215549504E-23</c:v>
                </c:pt>
                <c:pt idx="30">
                  <c:v>4.6879904354884482E-22</c:v>
                </c:pt>
                <c:pt idx="31">
                  <c:v>5.2361167896518594E-21</c:v>
                </c:pt>
                <c:pt idx="32">
                  <c:v>5.2678579946433923E-20</c:v>
                </c:pt>
                <c:pt idx="33">
                  <c:v>5.0319509139542698E-19</c:v>
                </c:pt>
                <c:pt idx="34">
                  <c:v>4.5931828952791271E-18</c:v>
                </c:pt>
                <c:pt idx="35">
                  <c:v>4.013157511008857E-17</c:v>
                </c:pt>
                <c:pt idx="36">
                  <c:v>3.2248179428818175E-16</c:v>
                </c:pt>
                <c:pt idx="37">
                  <c:v>2.4482573106979377E-15</c:v>
                </c:pt>
                <c:pt idx="38">
                  <c:v>1.7562629726969491E-14</c:v>
                </c:pt>
                <c:pt idx="39">
                  <c:v>1.2048302785474033E-13</c:v>
                </c:pt>
                <c:pt idx="40">
                  <c:v>7.6691974409907373E-13</c:v>
                </c:pt>
                <c:pt idx="41">
                  <c:v>4.6840624114981162E-12</c:v>
                </c:pt>
                <c:pt idx="42">
                  <c:v>2.6696827418509329E-11</c:v>
                </c:pt>
                <c:pt idx="43">
                  <c:v>1.4299258056033257E-10</c:v>
                </c:pt>
                <c:pt idx="44">
                  <c:v>7.2738498619551153E-10</c:v>
                </c:pt>
                <c:pt idx="45">
                  <c:v>3.4872498173431029E-9</c:v>
                </c:pt>
                <c:pt idx="46">
                  <c:v>1.5756027773160498E-8</c:v>
                </c:pt>
                <c:pt idx="47">
                  <c:v>6.7029157690055148E-8</c:v>
                </c:pt>
                <c:pt idx="48">
                  <c:v>2.7039063639933342E-7</c:v>
                </c:pt>
                <c:pt idx="49">
                  <c:v>1.0259217444413161E-6</c:v>
                </c:pt>
                <c:pt idx="50">
                  <c:v>3.6650468513883607E-6</c:v>
                </c:pt>
                <c:pt idx="51">
                  <c:v>1.2395442147949205E-5</c:v>
                </c:pt>
                <c:pt idx="52">
                  <c:v>3.9486490989366847E-5</c:v>
                </c:pt>
                <c:pt idx="53">
                  <c:v>1.187982704991058E-4</c:v>
                </c:pt>
                <c:pt idx="54">
                  <c:v>3.3660476516132932E-4</c:v>
                </c:pt>
                <c:pt idx="55">
                  <c:v>9.0048593744960137E-4</c:v>
                </c:pt>
                <c:pt idx="56">
                  <c:v>2.2730932208098924E-3</c:v>
                </c:pt>
                <c:pt idx="57">
                  <c:v>5.4152952512423278E-3</c:v>
                </c:pt>
                <c:pt idx="58">
                  <c:v>1.2158366110806009E-2</c:v>
                </c:pt>
                <c:pt idx="59">
                  <c:v>2.5779530996347104E-2</c:v>
                </c:pt>
                <c:pt idx="60">
                  <c:v>5.1609718723916627E-2</c:v>
                </c:pt>
                <c:pt idx="61">
                  <c:v>9.7114935539351077E-2</c:v>
                </c:pt>
                <c:pt idx="62">
                  <c:v>0.17307410802724169</c:v>
                </c:pt>
                <c:pt idx="63">
                  <c:v>0.29049170049917994</c:v>
                </c:pt>
                <c:pt idx="64">
                  <c:v>0.45940693696192619</c:v>
                </c:pt>
                <c:pt idx="65">
                  <c:v>0.68636681327059357</c:v>
                </c:pt>
                <c:pt idx="66">
                  <c:v>0.96748717405871709</c:v>
                </c:pt>
                <c:pt idx="67">
                  <c:v>1.2875028052919384</c:v>
                </c:pt>
                <c:pt idx="68">
                  <c:v>1.6140725074162918</c:v>
                </c:pt>
                <c:pt idx="69">
                  <c:v>1.9097846772164428</c:v>
                </c:pt>
                <c:pt idx="70">
                  <c:v>2.132230347397392</c:v>
                </c:pt>
                <c:pt idx="71">
                  <c:v>2.2457963541841504</c:v>
                </c:pt>
                <c:pt idx="72">
                  <c:v>2.231385476430118</c:v>
                </c:pt>
                <c:pt idx="73">
                  <c:v>2.0914211129156901</c:v>
                </c:pt>
                <c:pt idx="74">
                  <c:v>1.8495725038918647</c:v>
                </c:pt>
                <c:pt idx="75">
                  <c:v>1.5429245000281804</c:v>
                </c:pt>
                <c:pt idx="76">
                  <c:v>1.2142659324781917</c:v>
                </c:pt>
                <c:pt idx="77">
                  <c:v>0.90196624884946586</c:v>
                </c:pt>
                <c:pt idx="78">
                  <c:v>0.63157754369852315</c:v>
                </c:pt>
                <c:pt idx="79">
                  <c:v>0.41760357962973077</c:v>
                </c:pt>
                <c:pt idx="80">
                  <c:v>0.26034630999610037</c:v>
                </c:pt>
                <c:pt idx="81">
                  <c:v>0.15307372826981774</c:v>
                </c:pt>
                <c:pt idx="82">
                  <c:v>8.4943048810529179E-2</c:v>
                </c:pt>
                <c:pt idx="83">
                  <c:v>4.4469885017974942E-2</c:v>
                </c:pt>
                <c:pt idx="84">
                  <c:v>2.1949423242566549E-2</c:v>
                </c:pt>
                <c:pt idx="85">
                  <c:v>1.0213124948842458E-2</c:v>
                </c:pt>
                <c:pt idx="86">
                  <c:v>4.5057981457228766E-3</c:v>
                </c:pt>
                <c:pt idx="87">
                  <c:v>1.8696254849114881E-3</c:v>
                </c:pt>
                <c:pt idx="88">
                  <c:v>7.2999400754151578E-4</c:v>
                </c:pt>
                <c:pt idx="89">
                  <c:v>2.6852606769880484E-4</c:v>
                </c:pt>
                <c:pt idx="90">
                  <c:v>9.3842383817486691E-5</c:v>
                </c:pt>
                <c:pt idx="91">
                  <c:v>3.0814057728103093E-5</c:v>
                </c:pt>
                <c:pt idx="92">
                  <c:v>9.5404111318798529E-6</c:v>
                </c:pt>
                <c:pt idx="93">
                  <c:v>2.7959014884125839E-6</c:v>
                </c:pt>
                <c:pt idx="94">
                  <c:v>7.7016802618958144E-7</c:v>
                </c:pt>
                <c:pt idx="95">
                  <c:v>1.9950748997374568E-7</c:v>
                </c:pt>
                <c:pt idx="96">
                  <c:v>4.9155744722719809E-8</c:v>
                </c:pt>
                <c:pt idx="97">
                  <c:v>1.1365497250126972E-8</c:v>
                </c:pt>
                <c:pt idx="98">
                  <c:v>2.48607208174472E-9</c:v>
                </c:pt>
                <c:pt idx="99">
                  <c:v>5.1184040703280133E-10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752896"/>
        <c:axId val="370762880"/>
      </c:scatterChart>
      <c:valAx>
        <c:axId val="370752896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762880"/>
        <c:crosses val="autoZero"/>
        <c:crossBetween val="midCat"/>
      </c:valAx>
      <c:valAx>
        <c:axId val="37076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75289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Combinada!$A$2:$A$101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Combinada!$B$2:$B$101</c:f>
              <c:numCache>
                <c:formatCode>General</c:formatCode>
                <c:ptCount val="100"/>
                <c:pt idx="0">
                  <c:v>2.1023600000000001E-4</c:v>
                </c:pt>
                <c:pt idx="1">
                  <c:v>2.8519599999999998E-4</c:v>
                </c:pt>
                <c:pt idx="2">
                  <c:v>4.7028100000000002E-4</c:v>
                </c:pt>
                <c:pt idx="3">
                  <c:v>9.4659099999999999E-4</c:v>
                </c:pt>
                <c:pt idx="4">
                  <c:v>1.95371E-3</c:v>
                </c:pt>
                <c:pt idx="5">
                  <c:v>3.6345499999999998E-3</c:v>
                </c:pt>
                <c:pt idx="6">
                  <c:v>5.6780499999999996E-3</c:v>
                </c:pt>
                <c:pt idx="7">
                  <c:v>7.7367299999999998E-3</c:v>
                </c:pt>
                <c:pt idx="8">
                  <c:v>9.8101400000000002E-3</c:v>
                </c:pt>
                <c:pt idx="9">
                  <c:v>1.2145700000000001E-2</c:v>
                </c:pt>
                <c:pt idx="10">
                  <c:v>1.47198E-2</c:v>
                </c:pt>
                <c:pt idx="11">
                  <c:v>1.7276199999999999E-2</c:v>
                </c:pt>
                <c:pt idx="12">
                  <c:v>1.98026E-2</c:v>
                </c:pt>
                <c:pt idx="13">
                  <c:v>2.25753E-2</c:v>
                </c:pt>
                <c:pt idx="14">
                  <c:v>2.5706099999999999E-2</c:v>
                </c:pt>
                <c:pt idx="15">
                  <c:v>2.9057199999999998E-2</c:v>
                </c:pt>
                <c:pt idx="16">
                  <c:v>3.2605099999999998E-2</c:v>
                </c:pt>
                <c:pt idx="17">
                  <c:v>3.6715699999999997E-2</c:v>
                </c:pt>
                <c:pt idx="18">
                  <c:v>4.1583799999999997E-2</c:v>
                </c:pt>
                <c:pt idx="19">
                  <c:v>4.7156099999999999E-2</c:v>
                </c:pt>
                <c:pt idx="20">
                  <c:v>5.3245199999999999E-2</c:v>
                </c:pt>
                <c:pt idx="21">
                  <c:v>6.0146499999999999E-2</c:v>
                </c:pt>
                <c:pt idx="22">
                  <c:v>6.7653000000000005E-2</c:v>
                </c:pt>
                <c:pt idx="23">
                  <c:v>7.5715199999999996E-2</c:v>
                </c:pt>
                <c:pt idx="24">
                  <c:v>8.42913E-2</c:v>
                </c:pt>
                <c:pt idx="25">
                  <c:v>9.4087599999999993E-2</c:v>
                </c:pt>
                <c:pt idx="26">
                  <c:v>0.105142</c:v>
                </c:pt>
                <c:pt idx="27">
                  <c:v>0.117366</c:v>
                </c:pt>
                <c:pt idx="28">
                  <c:v>0.130638</c:v>
                </c:pt>
                <c:pt idx="29">
                  <c:v>0.14543600000000001</c:v>
                </c:pt>
                <c:pt idx="30">
                  <c:v>0.16197600000000001</c:v>
                </c:pt>
                <c:pt idx="31">
                  <c:v>0.18030499999999999</c:v>
                </c:pt>
                <c:pt idx="32">
                  <c:v>0.20042699999999999</c:v>
                </c:pt>
                <c:pt idx="33">
                  <c:v>0.222694</c:v>
                </c:pt>
                <c:pt idx="34">
                  <c:v>0.247693</c:v>
                </c:pt>
                <c:pt idx="35">
                  <c:v>0.27608199999999999</c:v>
                </c:pt>
                <c:pt idx="36">
                  <c:v>0.30856699999999998</c:v>
                </c:pt>
                <c:pt idx="37">
                  <c:v>0.34587600000000002</c:v>
                </c:pt>
                <c:pt idx="38">
                  <c:v>0.38927600000000001</c:v>
                </c:pt>
                <c:pt idx="39">
                  <c:v>0.440442</c:v>
                </c:pt>
                <c:pt idx="40">
                  <c:v>0.50163100000000005</c:v>
                </c:pt>
                <c:pt idx="41">
                  <c:v>0.57504999999999995</c:v>
                </c:pt>
                <c:pt idx="42">
                  <c:v>0.662906</c:v>
                </c:pt>
                <c:pt idx="43">
                  <c:v>0.76683800000000002</c:v>
                </c:pt>
                <c:pt idx="44">
                  <c:v>0.88772899999999999</c:v>
                </c:pt>
                <c:pt idx="45">
                  <c:v>1.02521</c:v>
                </c:pt>
                <c:pt idx="46">
                  <c:v>1.1773400000000001</c:v>
                </c:pt>
                <c:pt idx="47">
                  <c:v>1.34076</c:v>
                </c:pt>
                <c:pt idx="48">
                  <c:v>1.5111300000000001</c:v>
                </c:pt>
                <c:pt idx="49">
                  <c:v>1.6837899999999999</c:v>
                </c:pt>
                <c:pt idx="50">
                  <c:v>1.85372</c:v>
                </c:pt>
                <c:pt idx="51">
                  <c:v>2.0157400000000001</c:v>
                </c:pt>
                <c:pt idx="52">
                  <c:v>2.1648999999999998</c:v>
                </c:pt>
                <c:pt idx="53">
                  <c:v>2.29806</c:v>
                </c:pt>
                <c:pt idx="54">
                  <c:v>2.4144299999999999</c:v>
                </c:pt>
                <c:pt idx="55">
                  <c:v>2.5150999999999999</c:v>
                </c:pt>
                <c:pt idx="56">
                  <c:v>2.6010300000000002</c:v>
                </c:pt>
                <c:pt idx="57">
                  <c:v>2.6721300000000001</c:v>
                </c:pt>
                <c:pt idx="58">
                  <c:v>2.7285400000000002</c:v>
                </c:pt>
                <c:pt idx="59">
                  <c:v>2.77237</c:v>
                </c:pt>
                <c:pt idx="60">
                  <c:v>2.80776</c:v>
                </c:pt>
                <c:pt idx="61">
                  <c:v>2.8375900000000001</c:v>
                </c:pt>
                <c:pt idx="62">
                  <c:v>2.8596400000000002</c:v>
                </c:pt>
                <c:pt idx="63">
                  <c:v>2.8660800000000002</c:v>
                </c:pt>
                <c:pt idx="64">
                  <c:v>2.8492600000000001</c:v>
                </c:pt>
                <c:pt idx="65">
                  <c:v>2.8115299999999999</c:v>
                </c:pt>
                <c:pt idx="66">
                  <c:v>2.7706300000000001</c:v>
                </c:pt>
                <c:pt idx="67">
                  <c:v>2.75542</c:v>
                </c:pt>
                <c:pt idx="68">
                  <c:v>2.79291</c:v>
                </c:pt>
                <c:pt idx="69">
                  <c:v>2.8941699999999999</c:v>
                </c:pt>
                <c:pt idx="70">
                  <c:v>3.0478399999999999</c:v>
                </c:pt>
                <c:pt idx="71">
                  <c:v>3.22336</c:v>
                </c:pt>
                <c:pt idx="72">
                  <c:v>3.3822899999999998</c:v>
                </c:pt>
                <c:pt idx="73">
                  <c:v>3.4918499999999999</c:v>
                </c:pt>
                <c:pt idx="74">
                  <c:v>3.5293100000000002</c:v>
                </c:pt>
                <c:pt idx="75">
                  <c:v>3.4770400000000001</c:v>
                </c:pt>
                <c:pt idx="76">
                  <c:v>3.3165800000000001</c:v>
                </c:pt>
                <c:pt idx="77">
                  <c:v>3.0245199999999999</c:v>
                </c:pt>
                <c:pt idx="78">
                  <c:v>2.58508</c:v>
                </c:pt>
                <c:pt idx="79">
                  <c:v>2.0150899999999998</c:v>
                </c:pt>
                <c:pt idx="80">
                  <c:v>1.3718399999999999</c:v>
                </c:pt>
                <c:pt idx="81">
                  <c:v>0.73850199999999999</c:v>
                </c:pt>
                <c:pt idx="82">
                  <c:v>0.28099099999999999</c:v>
                </c:pt>
                <c:pt idx="83">
                  <c:v>5.92822E-2</c:v>
                </c:pt>
                <c:pt idx="84">
                  <c:v>5.79103E-3</c:v>
                </c:pt>
                <c:pt idx="85">
                  <c:v>1.02544E-4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Combinada!$C$1</c:f>
              <c:strCache>
                <c:ptCount val="1"/>
                <c:pt idx="0">
                  <c:v>Combinadal Bimodal</c:v>
                </c:pt>
              </c:strCache>
            </c:strRef>
          </c:tx>
          <c:marker>
            <c:symbol val="none"/>
          </c:marker>
          <c:xVal>
            <c:numRef>
              <c:f>Combinada!$A$2:$A$101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Combinada!$C$2:$C$101</c:f>
              <c:numCache>
                <c:formatCode>General</c:formatCode>
                <c:ptCount val="100"/>
                <c:pt idx="0">
                  <c:v>6.6776380251045765E-4</c:v>
                </c:pt>
                <c:pt idx="1">
                  <c:v>7.5711849667451975E-4</c:v>
                </c:pt>
                <c:pt idx="2">
                  <c:v>8.4909444734012588E-4</c:v>
                </c:pt>
                <c:pt idx="3">
                  <c:v>9.6752216206079551E-4</c:v>
                </c:pt>
                <c:pt idx="4">
                  <c:v>1.0895583923985323E-3</c:v>
                </c:pt>
                <c:pt idx="5">
                  <c:v>1.2404649679020334E-3</c:v>
                </c:pt>
                <c:pt idx="6">
                  <c:v>1.3959445581222165E-3</c:v>
                </c:pt>
                <c:pt idx="7">
                  <c:v>1.5827622962677553E-3</c:v>
                </c:pt>
                <c:pt idx="8">
                  <c:v>1.7750813475590427E-3</c:v>
                </c:pt>
                <c:pt idx="9">
                  <c:v>2.0299485839600697E-3</c:v>
                </c:pt>
                <c:pt idx="10">
                  <c:v>2.2928750984702443E-3</c:v>
                </c:pt>
                <c:pt idx="11">
                  <c:v>2.5939426150680292E-3</c:v>
                </c:pt>
                <c:pt idx="12">
                  <c:v>2.9039530264486483E-3</c:v>
                </c:pt>
                <c:pt idx="13">
                  <c:v>3.2872695894367548E-3</c:v>
                </c:pt>
                <c:pt idx="14">
                  <c:v>3.7495279305782029E-3</c:v>
                </c:pt>
                <c:pt idx="15">
                  <c:v>4.2276540579996944E-3</c:v>
                </c:pt>
                <c:pt idx="16">
                  <c:v>4.7934463096377293E-3</c:v>
                </c:pt>
                <c:pt idx="17">
                  <c:v>5.4176470967481904E-3</c:v>
                </c:pt>
                <c:pt idx="18">
                  <c:v>6.1446226141354914E-3</c:v>
                </c:pt>
                <c:pt idx="19">
                  <c:v>6.9867513964748723E-3</c:v>
                </c:pt>
                <c:pt idx="20">
                  <c:v>7.9603131232759347E-3</c:v>
                </c:pt>
                <c:pt idx="21">
                  <c:v>9.1336078627266941E-3</c:v>
                </c:pt>
                <c:pt idx="22">
                  <c:v>1.0445722174751065E-2</c:v>
                </c:pt>
                <c:pt idx="23">
                  <c:v>1.2088953834653769E-2</c:v>
                </c:pt>
                <c:pt idx="24">
                  <c:v>1.4025455368628148E-2</c:v>
                </c:pt>
                <c:pt idx="25">
                  <c:v>1.6464960008235337E-2</c:v>
                </c:pt>
                <c:pt idx="26">
                  <c:v>1.9472924158688808E-2</c:v>
                </c:pt>
                <c:pt idx="27">
                  <c:v>2.3294483633211294E-2</c:v>
                </c:pt>
                <c:pt idx="28">
                  <c:v>2.8271291340264793E-2</c:v>
                </c:pt>
                <c:pt idx="29">
                  <c:v>3.4616537957402604E-2</c:v>
                </c:pt>
                <c:pt idx="30">
                  <c:v>4.2829282015294137E-2</c:v>
                </c:pt>
                <c:pt idx="31">
                  <c:v>5.3748488061044646E-2</c:v>
                </c:pt>
                <c:pt idx="32">
                  <c:v>6.7673104712464738E-2</c:v>
                </c:pt>
                <c:pt idx="33">
                  <c:v>8.5704643332913541E-2</c:v>
                </c:pt>
                <c:pt idx="34">
                  <c:v>0.10898967484538202</c:v>
                </c:pt>
                <c:pt idx="35">
                  <c:v>0.13886789784497333</c:v>
                </c:pt>
                <c:pt idx="36">
                  <c:v>0.17606300557836566</c:v>
                </c:pt>
                <c:pt idx="37">
                  <c:v>0.22231576034460923</c:v>
                </c:pt>
                <c:pt idx="38">
                  <c:v>0.27908055104453006</c:v>
                </c:pt>
                <c:pt idx="39">
                  <c:v>0.34824227008419539</c:v>
                </c:pt>
                <c:pt idx="40">
                  <c:v>0.42990421320634747</c:v>
                </c:pt>
                <c:pt idx="41">
                  <c:v>0.52651238312292137</c:v>
                </c:pt>
                <c:pt idx="42">
                  <c:v>0.63720160335121867</c:v>
                </c:pt>
                <c:pt idx="43">
                  <c:v>0.76218311330903155</c:v>
                </c:pt>
                <c:pt idx="44">
                  <c:v>0.90163064195289433</c:v>
                </c:pt>
                <c:pt idx="45">
                  <c:v>1.05359240984889</c:v>
                </c:pt>
                <c:pt idx="46">
                  <c:v>1.2158681971443468</c:v>
                </c:pt>
                <c:pt idx="47">
                  <c:v>1.3854071463391486</c:v>
                </c:pt>
                <c:pt idx="48">
                  <c:v>1.5594971505462958</c:v>
                </c:pt>
                <c:pt idx="49">
                  <c:v>1.733061625121153</c:v>
                </c:pt>
                <c:pt idx="50">
                  <c:v>1.9018235404186725</c:v>
                </c:pt>
                <c:pt idx="51">
                  <c:v>2.0621040700441289</c:v>
                </c:pt>
                <c:pt idx="52">
                  <c:v>2.2090980890541028</c:v>
                </c:pt>
                <c:pt idx="53">
                  <c:v>2.3395947198461648</c:v>
                </c:pt>
                <c:pt idx="54">
                  <c:v>2.4505911294854248</c:v>
                </c:pt>
                <c:pt idx="55">
                  <c:v>2.5408047624833667</c:v>
                </c:pt>
                <c:pt idx="56">
                  <c:v>2.6098651063287033</c:v>
                </c:pt>
                <c:pt idx="57">
                  <c:v>2.6588308935448515</c:v>
                </c:pt>
                <c:pt idx="58">
                  <c:v>2.6900302712077124</c:v>
                </c:pt>
                <c:pt idx="59">
                  <c:v>2.7071380292868681</c:v>
                </c:pt>
                <c:pt idx="60">
                  <c:v>2.7146923155649407</c:v>
                </c:pt>
                <c:pt idx="61">
                  <c:v>2.7179314723589827</c:v>
                </c:pt>
                <c:pt idx="62">
                  <c:v>2.7224738850304546</c:v>
                </c:pt>
                <c:pt idx="63">
                  <c:v>2.73376435188369</c:v>
                </c:pt>
                <c:pt idx="64">
                  <c:v>2.7566697268744305</c:v>
                </c:pt>
                <c:pt idx="65">
                  <c:v>2.7952807054094064</c:v>
                </c:pt>
                <c:pt idx="66">
                  <c:v>2.8521095621562567</c:v>
                </c:pt>
                <c:pt idx="67">
                  <c:v>2.9280506738678183</c:v>
                </c:pt>
                <c:pt idx="68">
                  <c:v>3.0206896918333759</c:v>
                </c:pt>
                <c:pt idx="69">
                  <c:v>3.1260083272733246</c:v>
                </c:pt>
                <c:pt idx="70">
                  <c:v>3.2362456472104202</c:v>
                </c:pt>
                <c:pt idx="71">
                  <c:v>3.3399014764759407</c:v>
                </c:pt>
                <c:pt idx="72">
                  <c:v>3.4217255023327051</c:v>
                </c:pt>
                <c:pt idx="73">
                  <c:v>3.4633577916405112</c:v>
                </c:pt>
                <c:pt idx="74">
                  <c:v>3.444139888456379</c:v>
                </c:pt>
                <c:pt idx="75">
                  <c:v>3.3435629512047642</c:v>
                </c:pt>
                <c:pt idx="76">
                  <c:v>3.1449537469272419</c:v>
                </c:pt>
                <c:pt idx="77">
                  <c:v>2.8411142171197219</c:v>
                </c:pt>
                <c:pt idx="78">
                  <c:v>2.4375256904001361</c:v>
                </c:pt>
                <c:pt idx="79">
                  <c:v>1.961722673993294</c:v>
                </c:pt>
                <c:pt idx="80">
                  <c:v>1.4564174438917823</c:v>
                </c:pt>
                <c:pt idx="81">
                  <c:v>0.97811194719536365</c:v>
                </c:pt>
                <c:pt idx="82">
                  <c:v>0.58048437235075723</c:v>
                </c:pt>
                <c:pt idx="83">
                  <c:v>0.29568894363099951</c:v>
                </c:pt>
                <c:pt idx="84">
                  <c:v>0.12490495541565649</c:v>
                </c:pt>
                <c:pt idx="85">
                  <c:v>4.2286072137634655E-2</c:v>
                </c:pt>
                <c:pt idx="86">
                  <c:v>1.1468907006889033E-2</c:v>
                </c:pt>
                <c:pt idx="87">
                  <c:v>2.7586776099439696E-3</c:v>
                </c:pt>
                <c:pt idx="88">
                  <c:v>8.710252002971455E-4</c:v>
                </c:pt>
                <c:pt idx="89">
                  <c:v>4.3584637558468113E-4</c:v>
                </c:pt>
                <c:pt idx="90">
                  <c:v>2.5654300165695634E-4</c:v>
                </c:pt>
                <c:pt idx="91">
                  <c:v>1.5167903933131787E-4</c:v>
                </c:pt>
                <c:pt idx="92">
                  <c:v>8.8431205694114703E-5</c:v>
                </c:pt>
                <c:pt idx="93">
                  <c:v>5.0870427413597854E-5</c:v>
                </c:pt>
                <c:pt idx="94">
                  <c:v>2.8782764175072958E-5</c:v>
                </c:pt>
                <c:pt idx="95">
                  <c:v>1.6022575134309223E-5</c:v>
                </c:pt>
                <c:pt idx="96">
                  <c:v>8.8181671204731635E-6</c:v>
                </c:pt>
                <c:pt idx="97">
                  <c:v>4.7705209301011694E-6</c:v>
                </c:pt>
                <c:pt idx="98">
                  <c:v>2.5455393019570996E-6</c:v>
                </c:pt>
                <c:pt idx="99">
                  <c:v>1.3369108202721599E-6</c:v>
                </c:pt>
              </c:numCache>
            </c:numRef>
          </c:yVal>
          <c:smooth val="1"/>
        </c:ser>
        <c:ser>
          <c:idx val="2"/>
          <c:order val="2"/>
          <c:tx>
            <c:v>Normal 1</c:v>
          </c:tx>
          <c:marker>
            <c:symbol val="none"/>
          </c:marker>
          <c:xVal>
            <c:numRef>
              <c:f>Combinada!$A$2:$A$101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Combinada!$E$2:$E$101</c:f>
              <c:numCache>
                <c:formatCode>General</c:formatCode>
                <c:ptCount val="100"/>
                <c:pt idx="0">
                  <c:v>2.3212028052342185E-10</c:v>
                </c:pt>
                <c:pt idx="1">
                  <c:v>5.3563211627802781E-10</c:v>
                </c:pt>
                <c:pt idx="2">
                  <c:v>1.1336852593319952E-9</c:v>
                </c:pt>
                <c:pt idx="3">
                  <c:v>2.6209404245682704E-9</c:v>
                </c:pt>
                <c:pt idx="4">
                  <c:v>5.5364677823696479E-9</c:v>
                </c:pt>
                <c:pt idx="5">
                  <c:v>1.2329827254284796E-8</c:v>
                </c:pt>
                <c:pt idx="6">
                  <c:v>2.5189693278783422E-8</c:v>
                </c:pt>
                <c:pt idx="7">
                  <c:v>5.3046180031618147E-8</c:v>
                </c:pt>
                <c:pt idx="8">
                  <c:v>1.0328004027982622E-7</c:v>
                </c:pt>
                <c:pt idx="9">
                  <c:v>2.2148598598942077E-7</c:v>
                </c:pt>
                <c:pt idx="10">
                  <c:v>4.3588074113095119E-7</c:v>
                </c:pt>
                <c:pt idx="11">
                  <c:v>8.5228343205615946E-7</c:v>
                </c:pt>
                <c:pt idx="12">
                  <c:v>1.5530176631290878E-6</c:v>
                </c:pt>
                <c:pt idx="13">
                  <c:v>2.9565396449349285E-6</c:v>
                </c:pt>
                <c:pt idx="14">
                  <c:v>5.7516705177463199E-6</c:v>
                </c:pt>
                <c:pt idx="15">
                  <c:v>1.0381887081845959E-5</c:v>
                </c:pt>
                <c:pt idx="16">
                  <c:v>1.8926809393955679E-5</c:v>
                </c:pt>
                <c:pt idx="17">
                  <c:v>3.3369824169296718E-5</c:v>
                </c:pt>
                <c:pt idx="18">
                  <c:v>5.8614688080330931E-5</c:v>
                </c:pt>
                <c:pt idx="19">
                  <c:v>1.0181712915365684E-4</c:v>
                </c:pt>
                <c:pt idx="20">
                  <c:v>1.7399258260147087E-4</c:v>
                </c:pt>
                <c:pt idx="21">
                  <c:v>2.9720105803938767E-4</c:v>
                </c:pt>
                <c:pt idx="22">
                  <c:v>4.8603601631683901E-4</c:v>
                </c:pt>
                <c:pt idx="23">
                  <c:v>8.009184648044411E-4</c:v>
                </c:pt>
                <c:pt idx="24">
                  <c:v>1.2807459659178349E-3</c:v>
                </c:pt>
                <c:pt idx="25">
                  <c:v>2.0379790904894502E-3</c:v>
                </c:pt>
                <c:pt idx="26">
                  <c:v>3.1725518051956354E-3</c:v>
                </c:pt>
                <c:pt idx="27">
                  <c:v>4.8717680221091117E-3</c:v>
                </c:pt>
                <c:pt idx="28">
                  <c:v>7.413783421689437E-3</c:v>
                </c:pt>
                <c:pt idx="29">
                  <c:v>1.1046152015068259E-2</c:v>
                </c:pt>
                <c:pt idx="30">
                  <c:v>1.6201448252133946E-2</c:v>
                </c:pt>
                <c:pt idx="31">
                  <c:v>2.3590940198079065E-2</c:v>
                </c:pt>
                <c:pt idx="32">
                  <c:v>3.3599820744120504E-2</c:v>
                </c:pt>
                <c:pt idx="33">
                  <c:v>4.7195397109080495E-2</c:v>
                </c:pt>
                <c:pt idx="34">
                  <c:v>6.5436755244914283E-2</c:v>
                </c:pt>
                <c:pt idx="35">
                  <c:v>8.9569016216112129E-2</c:v>
                </c:pt>
                <c:pt idx="36">
                  <c:v>0.12034169420582741</c:v>
                </c:pt>
                <c:pt idx="37">
                  <c:v>0.15933165648474718</c:v>
                </c:pt>
                <c:pt idx="38">
                  <c:v>0.20788206849248761</c:v>
                </c:pt>
                <c:pt idx="39">
                  <c:v>0.26768906455435648</c:v>
                </c:pt>
                <c:pt idx="40">
                  <c:v>0.33886654475515199</c:v>
                </c:pt>
                <c:pt idx="41">
                  <c:v>0.42350981373521468</c:v>
                </c:pt>
                <c:pt idx="42">
                  <c:v>0.52074994833266453</c:v>
                </c:pt>
                <c:pt idx="43">
                  <c:v>0.63056835321890226</c:v>
                </c:pt>
                <c:pt idx="44">
                  <c:v>0.75281094867544218</c:v>
                </c:pt>
                <c:pt idx="45">
                  <c:v>0.88533749079970558</c:v>
                </c:pt>
                <c:pt idx="46">
                  <c:v>1.0256654266342375</c:v>
                </c:pt>
                <c:pt idx="47">
                  <c:v>1.1704439846242369</c:v>
                </c:pt>
                <c:pt idx="48">
                  <c:v>1.3164626139708626</c:v>
                </c:pt>
                <c:pt idx="49">
                  <c:v>1.4583888037748165</c:v>
                </c:pt>
                <c:pt idx="50">
                  <c:v>1.5914925901543202</c:v>
                </c:pt>
                <c:pt idx="51">
                  <c:v>1.7114208211234256</c:v>
                </c:pt>
                <c:pt idx="52">
                  <c:v>1.8129543993183799</c:v>
                </c:pt>
                <c:pt idx="53">
                  <c:v>1.8921491850218179</c:v>
                </c:pt>
                <c:pt idx="54">
                  <c:v>1.9454481070287024</c:v>
                </c:pt>
                <c:pt idx="55">
                  <c:v>1.9706818000962494</c:v>
                </c:pt>
                <c:pt idx="56">
                  <c:v>1.9666797220460526</c:v>
                </c:pt>
                <c:pt idx="57">
                  <c:v>1.9335884009781874</c:v>
                </c:pt>
                <c:pt idx="58">
                  <c:v>1.8729558358588871</c:v>
                </c:pt>
                <c:pt idx="59">
                  <c:v>1.7872590689408723</c:v>
                </c:pt>
                <c:pt idx="60">
                  <c:v>1.6800285242777382</c:v>
                </c:pt>
                <c:pt idx="61">
                  <c:v>1.5564879668536094</c:v>
                </c:pt>
                <c:pt idx="62">
                  <c:v>1.4199295777124208</c:v>
                </c:pt>
                <c:pt idx="63">
                  <c:v>1.2764704188023661</c:v>
                </c:pt>
                <c:pt idx="64">
                  <c:v>1.130926662712638</c:v>
                </c:pt>
                <c:pt idx="65">
                  <c:v>0.98682344385365661</c:v>
                </c:pt>
                <c:pt idx="66">
                  <c:v>0.84829819298221099</c:v>
                </c:pt>
                <c:pt idx="67">
                  <c:v>0.71804547695116316</c:v>
                </c:pt>
                <c:pt idx="68">
                  <c:v>0.59934562093101373</c:v>
                </c:pt>
                <c:pt idx="69">
                  <c:v>0.49276400673503162</c:v>
                </c:pt>
                <c:pt idx="70">
                  <c:v>0.39903900782040014</c:v>
                </c:pt>
                <c:pt idx="71">
                  <c:v>0.31831599095505364</c:v>
                </c:pt>
                <c:pt idx="72">
                  <c:v>0.25020137768857953</c:v>
                </c:pt>
                <c:pt idx="73">
                  <c:v>0.19371098005249709</c:v>
                </c:pt>
                <c:pt idx="74">
                  <c:v>0.14781738640273373</c:v>
                </c:pt>
                <c:pt idx="75">
                  <c:v>0.11109546446067078</c:v>
                </c:pt>
                <c:pt idx="76">
                  <c:v>8.2261468952495961E-2</c:v>
                </c:pt>
                <c:pt idx="77">
                  <c:v>6.0038510858674621E-2</c:v>
                </c:pt>
                <c:pt idx="78">
                  <c:v>4.3136455786773061E-2</c:v>
                </c:pt>
                <c:pt idx="79">
                  <c:v>3.0558315237788417E-2</c:v>
                </c:pt>
                <c:pt idx="80">
                  <c:v>2.1316776295189126E-2</c:v>
                </c:pt>
                <c:pt idx="81">
                  <c:v>1.4646854831128332E-2</c:v>
                </c:pt>
                <c:pt idx="82">
                  <c:v>9.917830146348422E-3</c:v>
                </c:pt>
                <c:pt idx="83">
                  <c:v>6.6163010053767925E-3</c:v>
                </c:pt>
                <c:pt idx="84">
                  <c:v>4.3468011806633159E-3</c:v>
                </c:pt>
                <c:pt idx="85">
                  <c:v>2.8124073238346161E-3</c:v>
                </c:pt>
                <c:pt idx="86">
                  <c:v>1.7976287950684853E-3</c:v>
                </c:pt>
                <c:pt idx="87">
                  <c:v>1.1300371781530641E-3</c:v>
                </c:pt>
                <c:pt idx="88">
                  <c:v>6.9893531208128988E-4</c:v>
                </c:pt>
                <c:pt idx="89">
                  <c:v>4.2563349719373076E-4</c:v>
                </c:pt>
                <c:pt idx="90">
                  <c:v>2.5623810431851519E-4</c:v>
                </c:pt>
                <c:pt idx="91">
                  <c:v>1.5167531121885981E-4</c:v>
                </c:pt>
                <c:pt idx="92">
                  <c:v>8.8431190449529879E-5</c:v>
                </c:pt>
                <c:pt idx="93">
                  <c:v>5.0870427397231429E-5</c:v>
                </c:pt>
                <c:pt idx="94">
                  <c:v>2.878276417506976E-5</c:v>
                </c:pt>
                <c:pt idx="95">
                  <c:v>1.6022575134309223E-5</c:v>
                </c:pt>
                <c:pt idx="96">
                  <c:v>8.8181671204731635E-6</c:v>
                </c:pt>
                <c:pt idx="97">
                  <c:v>4.7705209301011694E-6</c:v>
                </c:pt>
                <c:pt idx="98">
                  <c:v>2.5455393019570996E-6</c:v>
                </c:pt>
                <c:pt idx="99">
                  <c:v>1.3369108202721599E-6</c:v>
                </c:pt>
              </c:numCache>
            </c:numRef>
          </c:yVal>
          <c:smooth val="1"/>
        </c:ser>
        <c:ser>
          <c:idx val="3"/>
          <c:order val="3"/>
          <c:tx>
            <c:v>Weibull 2</c:v>
          </c:tx>
          <c:marker>
            <c:symbol val="none"/>
          </c:marker>
          <c:xVal>
            <c:numRef>
              <c:f>Combinada!$A$2:$A$101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Combinada!$F$2:$F$101</c:f>
              <c:numCache>
                <c:formatCode>General</c:formatCode>
                <c:ptCount val="100"/>
                <c:pt idx="0">
                  <c:v>6.6776357039017708E-4</c:v>
                </c:pt>
                <c:pt idx="1">
                  <c:v>7.571179610424035E-4</c:v>
                </c:pt>
                <c:pt idx="2">
                  <c:v>8.4909331365486649E-4</c:v>
                </c:pt>
                <c:pt idx="3">
                  <c:v>9.6751954112037097E-4</c:v>
                </c:pt>
                <c:pt idx="4">
                  <c:v>1.08955285593075E-3</c:v>
                </c:pt>
                <c:pt idx="5">
                  <c:v>1.2404526380747792E-3</c:v>
                </c:pt>
                <c:pt idx="6">
                  <c:v>1.3959193684289378E-3</c:v>
                </c:pt>
                <c:pt idx="7">
                  <c:v>1.5827092500877236E-3</c:v>
                </c:pt>
                <c:pt idx="8">
                  <c:v>1.7749780675187629E-3</c:v>
                </c:pt>
                <c:pt idx="9">
                  <c:v>2.0297270979740801E-3</c:v>
                </c:pt>
                <c:pt idx="10">
                  <c:v>2.2924392177291132E-3</c:v>
                </c:pt>
                <c:pt idx="11">
                  <c:v>2.5930903316359732E-3</c:v>
                </c:pt>
                <c:pt idx="12">
                  <c:v>2.902400008785519E-3</c:v>
                </c:pt>
                <c:pt idx="13">
                  <c:v>3.28431304979182E-3</c:v>
                </c:pt>
                <c:pt idx="14">
                  <c:v>3.7437762600604566E-3</c:v>
                </c:pt>
                <c:pt idx="15">
                  <c:v>4.2172721709178487E-3</c:v>
                </c:pt>
                <c:pt idx="16">
                  <c:v>4.774519500243774E-3</c:v>
                </c:pt>
                <c:pt idx="17">
                  <c:v>5.3842772725788942E-3</c:v>
                </c:pt>
                <c:pt idx="18">
                  <c:v>6.0860079260551606E-3</c:v>
                </c:pt>
                <c:pt idx="19">
                  <c:v>6.8849342673212152E-3</c:v>
                </c:pt>
                <c:pt idx="20">
                  <c:v>7.7863205406744638E-3</c:v>
                </c:pt>
                <c:pt idx="21">
                  <c:v>8.8364068046873061E-3</c:v>
                </c:pt>
                <c:pt idx="22">
                  <c:v>9.9596861584342264E-3</c:v>
                </c:pt>
                <c:pt idx="23">
                  <c:v>1.1288035369849328E-2</c:v>
                </c:pt>
                <c:pt idx="24">
                  <c:v>1.2744709402710313E-2</c:v>
                </c:pt>
                <c:pt idx="25">
                  <c:v>1.4426980917745885E-2</c:v>
                </c:pt>
                <c:pt idx="26">
                  <c:v>1.6300372353493173E-2</c:v>
                </c:pt>
                <c:pt idx="27">
                  <c:v>1.8422715611102182E-2</c:v>
                </c:pt>
                <c:pt idx="28">
                  <c:v>2.0857507918575355E-2</c:v>
                </c:pt>
                <c:pt idx="29">
                  <c:v>2.3570385942334342E-2</c:v>
                </c:pt>
                <c:pt idx="30">
                  <c:v>2.6627833763160195E-2</c:v>
                </c:pt>
                <c:pt idx="31">
                  <c:v>3.0157547862965581E-2</c:v>
                </c:pt>
                <c:pt idx="32">
                  <c:v>3.4073283968344241E-2</c:v>
                </c:pt>
                <c:pt idx="33">
                  <c:v>3.8509246223833046E-2</c:v>
                </c:pt>
                <c:pt idx="34">
                  <c:v>4.355291960046774E-2</c:v>
                </c:pt>
                <c:pt idx="35">
                  <c:v>4.9298881628861216E-2</c:v>
                </c:pt>
                <c:pt idx="36">
                  <c:v>5.5721311372538239E-2</c:v>
                </c:pt>
                <c:pt idx="37">
                  <c:v>6.2984103859862056E-2</c:v>
                </c:pt>
                <c:pt idx="38">
                  <c:v>7.1198482552042447E-2</c:v>
                </c:pt>
                <c:pt idx="39">
                  <c:v>8.0553205529838939E-2</c:v>
                </c:pt>
                <c:pt idx="40">
                  <c:v>9.10376684511955E-2</c:v>
                </c:pt>
                <c:pt idx="41">
                  <c:v>0.1030025693877067</c:v>
                </c:pt>
                <c:pt idx="42">
                  <c:v>0.11645165501855409</c:v>
                </c:pt>
                <c:pt idx="43">
                  <c:v>0.13161476009012932</c:v>
                </c:pt>
                <c:pt idx="44">
                  <c:v>0.14881969327745218</c:v>
                </c:pt>
                <c:pt idx="45">
                  <c:v>0.16825491904918433</c:v>
                </c:pt>
                <c:pt idx="46">
                  <c:v>0.19020277051010925</c:v>
                </c:pt>
                <c:pt idx="47">
                  <c:v>0.21496316171491173</c:v>
                </c:pt>
                <c:pt idx="48">
                  <c:v>0.2430345365754332</c:v>
                </c:pt>
                <c:pt idx="49">
                  <c:v>0.27467282134633647</c:v>
                </c:pt>
                <c:pt idx="50">
                  <c:v>0.31033095026435226</c:v>
                </c:pt>
                <c:pt idx="51">
                  <c:v>0.35068324892070307</c:v>
                </c:pt>
                <c:pt idx="52">
                  <c:v>0.39614368973572267</c:v>
                </c:pt>
                <c:pt idx="53">
                  <c:v>0.44744553482434696</c:v>
                </c:pt>
                <c:pt idx="54">
                  <c:v>0.50514302245672249</c:v>
                </c:pt>
                <c:pt idx="55">
                  <c:v>0.57012296238711735</c:v>
                </c:pt>
                <c:pt idx="56">
                  <c:v>0.64318538428265093</c:v>
                </c:pt>
                <c:pt idx="57">
                  <c:v>0.72524249256666429</c:v>
                </c:pt>
                <c:pt idx="58">
                  <c:v>0.81707443534882529</c:v>
                </c:pt>
                <c:pt idx="59">
                  <c:v>0.91987896034599581</c:v>
                </c:pt>
                <c:pt idx="60">
                  <c:v>1.0346637912872023</c:v>
                </c:pt>
                <c:pt idx="61">
                  <c:v>1.1614435055053733</c:v>
                </c:pt>
                <c:pt idx="62">
                  <c:v>1.3025443073180338</c:v>
                </c:pt>
                <c:pt idx="63">
                  <c:v>1.4572939330813237</c:v>
                </c:pt>
                <c:pt idx="64">
                  <c:v>1.6257430641617925</c:v>
                </c:pt>
                <c:pt idx="65">
                  <c:v>1.8084572615557499</c:v>
                </c:pt>
                <c:pt idx="66">
                  <c:v>2.0038113691740458</c:v>
                </c:pt>
                <c:pt idx="67">
                  <c:v>2.2100051969166552</c:v>
                </c:pt>
                <c:pt idx="68">
                  <c:v>2.4213440709023621</c:v>
                </c:pt>
                <c:pt idx="69">
                  <c:v>2.6332443205382927</c:v>
                </c:pt>
                <c:pt idx="70">
                  <c:v>2.8372066393900202</c:v>
                </c:pt>
                <c:pt idx="71">
                  <c:v>3.021585485520887</c:v>
                </c:pt>
                <c:pt idx="72">
                  <c:v>3.1715241246441255</c:v>
                </c:pt>
                <c:pt idx="73">
                  <c:v>3.269646811588014</c:v>
                </c:pt>
                <c:pt idx="74">
                  <c:v>3.2963225020536453</c:v>
                </c:pt>
                <c:pt idx="75">
                  <c:v>3.2324674867440932</c:v>
                </c:pt>
                <c:pt idx="76">
                  <c:v>3.0626922779747461</c:v>
                </c:pt>
                <c:pt idx="77">
                  <c:v>2.7810757062610474</c:v>
                </c:pt>
                <c:pt idx="78">
                  <c:v>2.3943892346133628</c:v>
                </c:pt>
                <c:pt idx="79">
                  <c:v>1.9311643587555056</c:v>
                </c:pt>
                <c:pt idx="80">
                  <c:v>1.4351006675965932</c:v>
                </c:pt>
                <c:pt idx="81">
                  <c:v>0.96346509236423528</c:v>
                </c:pt>
                <c:pt idx="82">
                  <c:v>0.57056654220440883</c:v>
                </c:pt>
                <c:pt idx="83">
                  <c:v>0.28907264262562271</c:v>
                </c:pt>
                <c:pt idx="84">
                  <c:v>0.12055815423499318</c:v>
                </c:pt>
                <c:pt idx="85">
                  <c:v>3.947366481380004E-2</c:v>
                </c:pt>
                <c:pt idx="86">
                  <c:v>9.6712782118205474E-3</c:v>
                </c:pt>
                <c:pt idx="87">
                  <c:v>1.6286404317909055E-3</c:v>
                </c:pt>
                <c:pt idx="88">
                  <c:v>1.7208988821585568E-4</c:v>
                </c:pt>
                <c:pt idx="89">
                  <c:v>1.0212878390950386E-5</c:v>
                </c:pt>
                <c:pt idx="90">
                  <c:v>3.0489733844115013E-7</c:v>
                </c:pt>
                <c:pt idx="91">
                  <c:v>3.7281124580552476E-9</c:v>
                </c:pt>
                <c:pt idx="92">
                  <c:v>1.5244584825536766E-11</c:v>
                </c:pt>
                <c:pt idx="93">
                  <c:v>1.6366424060168855E-14</c:v>
                </c:pt>
                <c:pt idx="94">
                  <c:v>3.1976642923116972E-18</c:v>
                </c:pt>
                <c:pt idx="95">
                  <c:v>7.5028883698245813E-23</c:v>
                </c:pt>
                <c:pt idx="96">
                  <c:v>1.4108464582552116E-28</c:v>
                </c:pt>
                <c:pt idx="97">
                  <c:v>1.0081051925394685E-35</c:v>
                </c:pt>
                <c:pt idx="98">
                  <c:v>1.3700281351654489E-44</c:v>
                </c:pt>
                <c:pt idx="99">
                  <c:v>1.2618710687680687E-55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609152"/>
        <c:axId val="370615040"/>
      </c:scatterChart>
      <c:valAx>
        <c:axId val="370609152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615040"/>
        <c:crosses val="autoZero"/>
        <c:crossBetween val="midCat"/>
      </c:valAx>
      <c:valAx>
        <c:axId val="37061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6091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Weibull!$B$2:$B$101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4"/>
          <c:order val="1"/>
          <c:tx>
            <c:v>Weibull</c:v>
          </c:tx>
          <c:spPr>
            <a:ln w="31750">
              <a:solidFill>
                <a:srgbClr val="00D028"/>
              </a:solidFill>
            </a:ln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Weibull!$H$2:$H$101</c:f>
              <c:numCache>
                <c:formatCode>General</c:formatCode>
                <c:ptCount val="100"/>
                <c:pt idx="0">
                  <c:v>1.335888816967013E-2</c:v>
                </c:pt>
                <c:pt idx="1">
                  <c:v>1.4495196509644362E-2</c:v>
                </c:pt>
                <c:pt idx="2">
                  <c:v>1.5643286282306726E-2</c:v>
                </c:pt>
                <c:pt idx="3">
                  <c:v>1.7090447558891091E-2</c:v>
                </c:pt>
                <c:pt idx="4">
                  <c:v>1.8547311888725188E-2</c:v>
                </c:pt>
                <c:pt idx="5">
                  <c:v>2.0304590812396377E-2</c:v>
                </c:pt>
                <c:pt idx="6">
                  <c:v>2.2068793419085995E-2</c:v>
                </c:pt>
                <c:pt idx="7">
                  <c:v>2.4132983800952384E-2</c:v>
                </c:pt>
                <c:pt idx="8">
                  <c:v>2.6201454780695518E-2</c:v>
                </c:pt>
                <c:pt idx="9">
                  <c:v>2.8864809724672223E-2</c:v>
                </c:pt>
                <c:pt idx="10">
                  <c:v>3.1530613629025199E-2</c:v>
                </c:pt>
                <c:pt idx="11">
                  <c:v>3.4493836032986148E-2</c:v>
                </c:pt>
                <c:pt idx="12">
                  <c:v>3.7457178511291558E-2</c:v>
                </c:pt>
                <c:pt idx="13">
                  <c:v>4.1012267002905008E-2</c:v>
                </c:pt>
                <c:pt idx="14">
                  <c:v>4.5157564264749192E-2</c:v>
                </c:pt>
                <c:pt idx="15">
                  <c:v>4.9299641391337065E-2</c:v>
                </c:pt>
                <c:pt idx="16">
                  <c:v>5.402895420875798E-2</c:v>
                </c:pt>
                <c:pt idx="17">
                  <c:v>5.9048268263286574E-2</c:v>
                </c:pt>
                <c:pt idx="18">
                  <c:v>6.46511207347156E-2</c:v>
                </c:pt>
                <c:pt idx="19">
                  <c:v>7.0835197142579076E-2</c:v>
                </c:pt>
                <c:pt idx="20">
                  <c:v>7.7598113609177427E-2</c:v>
                </c:pt>
                <c:pt idx="21">
                  <c:v>8.5230780470140016E-2</c:v>
                </c:pt>
                <c:pt idx="22">
                  <c:v>9.3143618489678684E-2</c:v>
                </c:pt>
                <c:pt idx="23">
                  <c:v>0.10221258657764812</c:v>
                </c:pt>
                <c:pt idx="24">
                  <c:v>0.11184849324752313</c:v>
                </c:pt>
                <c:pt idx="25">
                  <c:v>0.12263109036102404</c:v>
                </c:pt>
                <c:pt idx="26">
                  <c:v>0.13426369090756718</c:v>
                </c:pt>
                <c:pt idx="27">
                  <c:v>0.14703160053120937</c:v>
                </c:pt>
                <c:pt idx="28">
                  <c:v>0.16121720532420269</c:v>
                </c:pt>
                <c:pt idx="29">
                  <c:v>0.17652269215661093</c:v>
                </c:pt>
                <c:pt idx="30">
                  <c:v>0.19322789915561289</c:v>
                </c:pt>
                <c:pt idx="31">
                  <c:v>0.21189549858745724</c:v>
                </c:pt>
                <c:pt idx="32">
                  <c:v>0.23193640726685313</c:v>
                </c:pt>
                <c:pt idx="33">
                  <c:v>0.25390684584226897</c:v>
                </c:pt>
                <c:pt idx="34">
                  <c:v>0.27806912891049518</c:v>
                </c:pt>
                <c:pt idx="35">
                  <c:v>0.30467785208087778</c:v>
                </c:pt>
                <c:pt idx="36">
                  <c:v>0.33341598513471088</c:v>
                </c:pt>
                <c:pt idx="37">
                  <c:v>0.36480567072171333</c:v>
                </c:pt>
                <c:pt idx="38">
                  <c:v>0.39907200589469022</c:v>
                </c:pt>
                <c:pt idx="39">
                  <c:v>0.43669917509018447</c:v>
                </c:pt>
                <c:pt idx="40">
                  <c:v>0.47732158986831269</c:v>
                </c:pt>
                <c:pt idx="41">
                  <c:v>0.52192078128373898</c:v>
                </c:pt>
                <c:pt idx="42">
                  <c:v>0.57007463512406864</c:v>
                </c:pt>
                <c:pt idx="43">
                  <c:v>0.62213758789940277</c:v>
                </c:pt>
                <c:pt idx="44">
                  <c:v>0.67866001454504177</c:v>
                </c:pt>
                <c:pt idx="45">
                  <c:v>0.73958343978958518</c:v>
                </c:pt>
                <c:pt idx="46">
                  <c:v>0.80501677653186066</c:v>
                </c:pt>
                <c:pt idx="47">
                  <c:v>0.87494533892001913</c:v>
                </c:pt>
                <c:pt idx="48">
                  <c:v>0.94967136282568976</c:v>
                </c:pt>
                <c:pt idx="49">
                  <c:v>1.0285666904626394</c:v>
                </c:pt>
                <c:pt idx="50">
                  <c:v>1.1112398175465577</c:v>
                </c:pt>
                <c:pt idx="51">
                  <c:v>1.1973880571156812</c:v>
                </c:pt>
                <c:pt idx="52">
                  <c:v>1.2856626702418208</c:v>
                </c:pt>
                <c:pt idx="53">
                  <c:v>1.3748410505739785</c:v>
                </c:pt>
                <c:pt idx="54">
                  <c:v>1.4627585894387218</c:v>
                </c:pt>
                <c:pt idx="55">
                  <c:v>1.5470896056958083</c:v>
                </c:pt>
                <c:pt idx="56">
                  <c:v>1.6245639770565192</c:v>
                </c:pt>
                <c:pt idx="57">
                  <c:v>1.6912341953370142</c:v>
                </c:pt>
                <c:pt idx="58">
                  <c:v>1.7423188940586471</c:v>
                </c:pt>
                <c:pt idx="59">
                  <c:v>1.7726444935997199</c:v>
                </c:pt>
                <c:pt idx="60">
                  <c:v>1.776454851471434</c:v>
                </c:pt>
                <c:pt idx="61">
                  <c:v>1.7483875794654873</c:v>
                </c:pt>
                <c:pt idx="62">
                  <c:v>1.6833583226168534</c:v>
                </c:pt>
                <c:pt idx="63">
                  <c:v>1.5788651635121838</c:v>
                </c:pt>
                <c:pt idx="64">
                  <c:v>1.4352818238033689</c:v>
                </c:pt>
                <c:pt idx="65">
                  <c:v>1.2558617579552547</c:v>
                </c:pt>
                <c:pt idx="66">
                  <c:v>1.0497523544249014</c:v>
                </c:pt>
                <c:pt idx="67">
                  <c:v>0.8298766084830077</c:v>
                </c:pt>
                <c:pt idx="68">
                  <c:v>0.61492525454202207</c:v>
                </c:pt>
                <c:pt idx="69">
                  <c:v>0.42073140688484945</c:v>
                </c:pt>
                <c:pt idx="70">
                  <c:v>0.26147602302432077</c:v>
                </c:pt>
                <c:pt idx="71">
                  <c:v>0.14477875907865953</c:v>
                </c:pt>
                <c:pt idx="72">
                  <c:v>6.9823060882373611E-2</c:v>
                </c:pt>
                <c:pt idx="73">
                  <c:v>2.8485091102377499E-2</c:v>
                </c:pt>
                <c:pt idx="74">
                  <c:v>9.5262905155599209E-3</c:v>
                </c:pt>
                <c:pt idx="75">
                  <c:v>2.5010425453516399E-3</c:v>
                </c:pt>
                <c:pt idx="76">
                  <c:v>4.9182109732712328E-4</c:v>
                </c:pt>
                <c:pt idx="77">
                  <c:v>6.8959337322464898E-5</c:v>
                </c:pt>
                <c:pt idx="78">
                  <c:v>6.8412569742722822E-6</c:v>
                </c:pt>
                <c:pt idx="79">
                  <c:v>9.227730682131477E-7</c:v>
                </c:pt>
                <c:pt idx="80">
                  <c:v>5.3875203311531019E-7</c:v>
                </c:pt>
                <c:pt idx="81">
                  <c:v>4.8153791782897894E-7</c:v>
                </c:pt>
                <c:pt idx="82">
                  <c:v>4.3852631649967948E-7</c:v>
                </c:pt>
                <c:pt idx="83">
                  <c:v>3.9947808230310603E-7</c:v>
                </c:pt>
                <c:pt idx="84">
                  <c:v>3.6387678143929026E-7</c:v>
                </c:pt>
                <c:pt idx="85">
                  <c:v>3.3142267280063316E-7</c:v>
                </c:pt>
                <c:pt idx="86">
                  <c:v>3.0203496769268849E-7</c:v>
                </c:pt>
                <c:pt idx="87">
                  <c:v>2.7515160245351829E-7</c:v>
                </c:pt>
                <c:pt idx="88">
                  <c:v>2.5059705033304353E-7</c:v>
                </c:pt>
                <c:pt idx="89">
                  <c:v>2.2821024983030294E-7</c:v>
                </c:pt>
                <c:pt idx="90">
                  <c:v>2.0795537911870591E-7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</c:numCache>
            </c:numRef>
          </c:yVal>
          <c:smooth val="1"/>
        </c:ser>
        <c:ser>
          <c:idx val="1"/>
          <c:order val="2"/>
          <c:tx>
            <c:v>Normal</c:v>
          </c:tx>
          <c:spPr>
            <a:ln w="31750" cap="flat" cmpd="sng" algn="ctr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Normal!$A$2:$A$117</c:f>
              <c:numCache>
                <c:formatCode>General</c:formatCode>
                <c:ptCount val="116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  <c:pt idx="100">
                  <c:v>449.66</c:v>
                </c:pt>
                <c:pt idx="101">
                  <c:v>493.62</c:v>
                </c:pt>
                <c:pt idx="102">
                  <c:v>541.88</c:v>
                </c:pt>
                <c:pt idx="103">
                  <c:v>594.85</c:v>
                </c:pt>
                <c:pt idx="104">
                  <c:v>653.01</c:v>
                </c:pt>
                <c:pt idx="105">
                  <c:v>716.85</c:v>
                </c:pt>
                <c:pt idx="106">
                  <c:v>786.93</c:v>
                </c:pt>
                <c:pt idx="107">
                  <c:v>863.87</c:v>
                </c:pt>
                <c:pt idx="108">
                  <c:v>948.32</c:v>
                </c:pt>
                <c:pt idx="109">
                  <c:v>1041</c:v>
                </c:pt>
                <c:pt idx="110">
                  <c:v>1142.8</c:v>
                </c:pt>
                <c:pt idx="111">
                  <c:v>1254.5</c:v>
                </c:pt>
                <c:pt idx="112">
                  <c:v>1377.2</c:v>
                </c:pt>
                <c:pt idx="113">
                  <c:v>1511.8</c:v>
                </c:pt>
                <c:pt idx="114">
                  <c:v>1659.6</c:v>
                </c:pt>
                <c:pt idx="115">
                  <c:v>1821.9</c:v>
                </c:pt>
              </c:numCache>
            </c:numRef>
          </c:xVal>
          <c:yVal>
            <c:numRef>
              <c:f>Normal!$I$2:$I$117</c:f>
              <c:numCache>
                <c:formatCode>General</c:formatCode>
                <c:ptCount val="116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8.8451122804042066E-6</c:v>
                </c:pt>
                <c:pt idx="10">
                  <c:v>1.4314290504605203E-5</c:v>
                </c:pt>
                <c:pt idx="11">
                  <c:v>2.3078731871163335E-5</c:v>
                </c:pt>
                <c:pt idx="12">
                  <c:v>3.5413834065662085E-5</c:v>
                </c:pt>
                <c:pt idx="13">
                  <c:v>5.6114802329691744E-5</c:v>
                </c:pt>
                <c:pt idx="14">
                  <c:v>9.0394318358328864E-5</c:v>
                </c:pt>
                <c:pt idx="15">
                  <c:v>1.3813367505176327E-4</c:v>
                </c:pt>
                <c:pt idx="16">
                  <c:v>2.1280124548497326E-4</c:v>
                </c:pt>
                <c:pt idx="17">
                  <c:v>3.2033963799973561E-4</c:v>
                </c:pt>
                <c:pt idx="18">
                  <c:v>4.8139960600538745E-4</c:v>
                </c:pt>
                <c:pt idx="19">
                  <c:v>7.1837703545519203E-4</c:v>
                </c:pt>
                <c:pt idx="20">
                  <c:v>1.0605003786323527E-3</c:v>
                </c:pt>
                <c:pt idx="21">
                  <c:v>1.5668427187542733E-3</c:v>
                </c:pt>
                <c:pt idx="22">
                  <c:v>2.2450964638795292E-3</c:v>
                </c:pt>
                <c:pt idx="23">
                  <c:v>3.2386783648056363E-3</c:v>
                </c:pt>
                <c:pt idx="24">
                  <c:v>4.5755406445733464E-3</c:v>
                </c:pt>
                <c:pt idx="25">
                  <c:v>6.4488131169730878E-3</c:v>
                </c:pt>
                <c:pt idx="26">
                  <c:v>8.9541710105502208E-3</c:v>
                </c:pt>
                <c:pt idx="27">
                  <c:v>1.232354081404289E-2</c:v>
                </c:pt>
                <c:pt idx="28">
                  <c:v>1.6870151260915706E-2</c:v>
                </c:pt>
                <c:pt idx="29">
                  <c:v>2.2763693396431469E-2</c:v>
                </c:pt>
                <c:pt idx="30">
                  <c:v>3.0398968731031546E-2</c:v>
                </c:pt>
                <c:pt idx="31">
                  <c:v>4.0435392413845424E-2</c:v>
                </c:pt>
                <c:pt idx="32">
                  <c:v>5.2973209049479213E-2</c:v>
                </c:pt>
                <c:pt idx="33">
                  <c:v>6.8778296537838568E-2</c:v>
                </c:pt>
                <c:pt idx="34">
                  <c:v>8.8563478585618E-2</c:v>
                </c:pt>
                <c:pt idx="35">
                  <c:v>0.11311570694518276</c:v>
                </c:pt>
                <c:pt idx="36">
                  <c:v>0.1426618901122082</c:v>
                </c:pt>
                <c:pt idx="37">
                  <c:v>0.17821136016959949</c:v>
                </c:pt>
                <c:pt idx="38">
                  <c:v>0.22049960813087321</c:v>
                </c:pt>
                <c:pt idx="39">
                  <c:v>0.27056544811466715</c:v>
                </c:pt>
                <c:pt idx="40">
                  <c:v>0.32820047516967427</c:v>
                </c:pt>
                <c:pt idx="41">
                  <c:v>0.39493566274089476</c:v>
                </c:pt>
                <c:pt idx="42">
                  <c:v>0.47009914288666471</c:v>
                </c:pt>
                <c:pt idx="43">
                  <c:v>0.55393081259221177</c:v>
                </c:pt>
                <c:pt idx="44">
                  <c:v>0.64679726564537787</c:v>
                </c:pt>
                <c:pt idx="45">
                  <c:v>0.74782656397396718</c:v>
                </c:pt>
                <c:pt idx="46">
                  <c:v>0.85616020636315215</c:v>
                </c:pt>
                <c:pt idx="47">
                  <c:v>0.97051344106150561</c:v>
                </c:pt>
                <c:pt idx="48">
                  <c:v>1.0899294632808472</c:v>
                </c:pt>
                <c:pt idx="49">
                  <c:v>1.2118486316777046</c:v>
                </c:pt>
                <c:pt idx="50">
                  <c:v>1.334135312465728</c:v>
                </c:pt>
                <c:pt idx="51">
                  <c:v>1.4548865565554916</c:v>
                </c:pt>
                <c:pt idx="52">
                  <c:v>1.5710006828066312</c:v>
                </c:pt>
                <c:pt idx="53">
                  <c:v>1.6800731582259951</c:v>
                </c:pt>
                <c:pt idx="54">
                  <c:v>1.7792272395591322</c:v>
                </c:pt>
                <c:pt idx="55">
                  <c:v>1.8663554340543984</c:v>
                </c:pt>
                <c:pt idx="56">
                  <c:v>1.9395290034136075</c:v>
                </c:pt>
                <c:pt idx="57">
                  <c:v>1.997720560576004</c:v>
                </c:pt>
                <c:pt idx="58">
                  <c:v>2.0411271305733401</c:v>
                </c:pt>
                <c:pt idx="59">
                  <c:v>2.072059608204972</c:v>
                </c:pt>
                <c:pt idx="60">
                  <c:v>2.0952660854460072</c:v>
                </c:pt>
                <c:pt idx="61">
                  <c:v>2.1184342924631805</c:v>
                </c:pt>
                <c:pt idx="62">
                  <c:v>2.1527041705888545</c:v>
                </c:pt>
                <c:pt idx="63">
                  <c:v>2.2105548918654772</c:v>
                </c:pt>
                <c:pt idx="64">
                  <c:v>2.303852743759855</c:v>
                </c:pt>
                <c:pt idx="65">
                  <c:v>2.440797649959864</c:v>
                </c:pt>
                <c:pt idx="66">
                  <c:v>2.6200696057365347</c:v>
                </c:pt>
                <c:pt idx="67">
                  <c:v>2.828690604959434</c:v>
                </c:pt>
                <c:pt idx="68">
                  <c:v>3.0379804112350612</c:v>
                </c:pt>
                <c:pt idx="69">
                  <c:v>3.2124656024548557</c:v>
                </c:pt>
                <c:pt idx="70">
                  <c:v>3.3123046633169997</c:v>
                </c:pt>
                <c:pt idx="71">
                  <c:v>3.304360183708694</c:v>
                </c:pt>
                <c:pt idx="72">
                  <c:v>3.1718012184300517</c:v>
                </c:pt>
                <c:pt idx="73">
                  <c:v>2.9186805405589924</c:v>
                </c:pt>
                <c:pt idx="74">
                  <c:v>2.5703825782306255</c:v>
                </c:pt>
                <c:pt idx="75">
                  <c:v>2.1647973538135918</c:v>
                </c:pt>
                <c:pt idx="76">
                  <c:v>1.7455781734897104</c:v>
                </c:pt>
                <c:pt idx="77">
                  <c:v>1.3516160550812459</c:v>
                </c:pt>
                <c:pt idx="78">
                  <c:v>1.0082654175767698</c:v>
                </c:pt>
                <c:pt idx="79">
                  <c:v>0.73024072171521726</c:v>
                </c:pt>
                <c:pt idx="80">
                  <c:v>0.51723662449076024</c:v>
                </c:pt>
                <c:pt idx="81">
                  <c:v>0.36208437494797435</c:v>
                </c:pt>
                <c:pt idx="82">
                  <c:v>0.25337446053667034</c:v>
                </c:pt>
                <c:pt idx="83">
                  <c:v>0.17888385001507762</c:v>
                </c:pt>
                <c:pt idx="84">
                  <c:v>0.12815236498454813</c:v>
                </c:pt>
                <c:pt idx="85">
                  <c:v>9.3293197965913024E-2</c:v>
                </c:pt>
                <c:pt idx="86">
                  <c:v>6.896673954502322E-2</c:v>
                </c:pt>
                <c:pt idx="87">
                  <c:v>5.1350396628914767E-2</c:v>
                </c:pt>
                <c:pt idx="88">
                  <c:v>3.8314925590183894E-2</c:v>
                </c:pt>
                <c:pt idx="89">
                  <c:v>2.8530270264869304E-2</c:v>
                </c:pt>
                <c:pt idx="90">
                  <c:v>2.1180365380479214E-2</c:v>
                </c:pt>
                <c:pt idx="91">
                  <c:v>1.5593341466752389E-2</c:v>
                </c:pt>
                <c:pt idx="92">
                  <c:v>1.1382128905378205E-2</c:v>
                </c:pt>
                <c:pt idx="93">
                  <c:v>8.240006490420693E-3</c:v>
                </c:pt>
                <c:pt idx="94">
                  <c:v>5.9034322428135827E-3</c:v>
                </c:pt>
                <c:pt idx="95">
                  <c:v>4.1855569406361384E-3</c:v>
                </c:pt>
                <c:pt idx="96">
                  <c:v>2.9449925642470931E-3</c:v>
                </c:pt>
                <c:pt idx="97">
                  <c:v>2.049324092522186E-3</c:v>
                </c:pt>
                <c:pt idx="98">
                  <c:v>1.4131961888634256E-3</c:v>
                </c:pt>
                <c:pt idx="99">
                  <c:v>9.6452762772816292E-4</c:v>
                </c:pt>
                <c:pt idx="100">
                  <c:v>6.519724657356624E-4</c:v>
                </c:pt>
                <c:pt idx="101">
                  <c:v>4.3648853307432878E-4</c:v>
                </c:pt>
                <c:pt idx="102">
                  <c:v>2.8938191774509678E-4</c:v>
                </c:pt>
                <c:pt idx="103">
                  <c:v>1.9000297665534353E-4</c:v>
                </c:pt>
                <c:pt idx="104">
                  <c:v>1.2353106089696178E-4</c:v>
                </c:pt>
                <c:pt idx="105">
                  <c:v>7.9537714657882468E-5</c:v>
                </c:pt>
                <c:pt idx="106">
                  <c:v>5.0715011265966334E-5</c:v>
                </c:pt>
                <c:pt idx="107">
                  <c:v>3.2021458486948145E-5</c:v>
                </c:pt>
                <c:pt idx="108">
                  <c:v>2.0023389022674308E-5</c:v>
                </c:pt>
                <c:pt idx="109">
                  <c:v>1.2400903613953292E-5</c:v>
                </c:pt>
                <c:pt idx="110">
                  <c:v>7.6034317350440266E-6</c:v>
                </c:pt>
                <c:pt idx="111">
                  <c:v>4.6177451554761243E-6</c:v>
                </c:pt>
                <c:pt idx="112">
                  <c:v>2.7763399310529782E-6</c:v>
                </c:pt>
                <c:pt idx="113">
                  <c:v>1.6536275280247643E-6</c:v>
                </c:pt>
                <c:pt idx="114">
                  <c:v>9.7521692141542865E-7</c:v>
                </c:pt>
                <c:pt idx="115">
                  <c:v>5.6945315714984693E-7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801792"/>
        <c:axId val="382803328"/>
      </c:scatterChart>
      <c:valAx>
        <c:axId val="382801792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2803328"/>
        <c:crossesAt val="0"/>
        <c:crossBetween val="midCat"/>
      </c:valAx>
      <c:valAx>
        <c:axId val="38280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2801792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Weibull!$B$2:$B$101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4"/>
          <c:order val="1"/>
          <c:tx>
            <c:v>Weibull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Weibull!$J$2:$J$118</c:f>
              <c:numCache>
                <c:formatCode>General</c:formatCode>
                <c:ptCount val="117"/>
                <c:pt idx="0">
                  <c:v>1.3361366114062497E-2</c:v>
                </c:pt>
                <c:pt idx="1">
                  <c:v>1.4498244530238111E-2</c:v>
                </c:pt>
                <c:pt idx="2">
                  <c:v>1.564696854030383E-2</c:v>
                </c:pt>
                <c:pt idx="3">
                  <c:v>1.7095014313901192E-2</c:v>
                </c:pt>
                <c:pt idx="4">
                  <c:v>1.8552866662748347E-2</c:v>
                </c:pt>
                <c:pt idx="5">
                  <c:v>2.031147013743333E-2</c:v>
                </c:pt>
                <c:pt idx="6">
                  <c:v>2.2077151296876436E-2</c:v>
                </c:pt>
                <c:pt idx="7">
                  <c:v>2.4143264493165447E-2</c:v>
                </c:pt>
                <c:pt idx="8">
                  <c:v>2.6213874697143449E-2</c:v>
                </c:pt>
                <c:pt idx="9">
                  <c:v>2.8880303309448897E-2</c:v>
                </c:pt>
                <c:pt idx="10">
                  <c:v>3.1549550459429844E-2</c:v>
                </c:pt>
                <c:pt idx="11">
                  <c:v>3.4517039361510467E-2</c:v>
                </c:pt>
                <c:pt idx="12">
                  <c:v>3.7485119484155886E-2</c:v>
                </c:pt>
                <c:pt idx="13">
                  <c:v>4.1046524898857378E-2</c:v>
                </c:pt>
                <c:pt idx="14">
                  <c:v>4.5200077078561579E-2</c:v>
                </c:pt>
                <c:pt idx="15">
                  <c:v>4.9351378045153223E-2</c:v>
                </c:pt>
                <c:pt idx="16">
                  <c:v>5.4092438334640079E-2</c:v>
                </c:pt>
                <c:pt idx="17">
                  <c:v>5.9125666056976486E-2</c:v>
                </c:pt>
                <c:pt idx="18">
                  <c:v>6.4745843206271539E-2</c:v>
                </c:pt>
                <c:pt idx="19">
                  <c:v>7.0951281778726186E-2</c:v>
                </c:pt>
                <c:pt idx="20">
                  <c:v>7.7740305338624277E-2</c:v>
                </c:pt>
                <c:pt idx="21">
                  <c:v>8.5405952736397672E-2</c:v>
                </c:pt>
                <c:pt idx="22">
                  <c:v>9.3356998576478403E-2</c:v>
                </c:pt>
                <c:pt idx="23">
                  <c:v>0.10247489025137324</c:v>
                </c:pt>
                <c:pt idx="24">
                  <c:v>0.1121689107829973</c:v>
                </c:pt>
                <c:pt idx="25">
                  <c:v>0.12302418601763628</c:v>
                </c:pt>
                <c:pt idx="26">
                  <c:v>0.13474444497843727</c:v>
                </c:pt>
                <c:pt idx="27">
                  <c:v>0.14761986054681389</c:v>
                </c:pt>
                <c:pt idx="28">
                  <c:v>0.1619390727578148</c:v>
                </c:pt>
                <c:pt idx="29">
                  <c:v>0.17740581272391265</c:v>
                </c:pt>
                <c:pt idx="30">
                  <c:v>0.19430774277553792</c:v>
                </c:pt>
                <c:pt idx="31">
                  <c:v>0.21322137245010228</c:v>
                </c:pt>
                <c:pt idx="32">
                  <c:v>0.23355794390073401</c:v>
                </c:pt>
                <c:pt idx="33">
                  <c:v>0.25589098850834424</c:v>
                </c:pt>
                <c:pt idx="34">
                  <c:v>0.28049975673940941</c:v>
                </c:pt>
                <c:pt idx="35">
                  <c:v>0.30765961784647461</c:v>
                </c:pt>
                <c:pt idx="36">
                  <c:v>0.33706507589261658</c:v>
                </c:pt>
                <c:pt idx="37">
                  <c:v>0.36927191777549123</c:v>
                </c:pt>
                <c:pt idx="38">
                  <c:v>0.40453910413506172</c:v>
                </c:pt>
                <c:pt idx="39">
                  <c:v>0.4434009987765905</c:v>
                </c:pt>
                <c:pt idx="40">
                  <c:v>0.48552240918155298</c:v>
                </c:pt>
                <c:pt idx="41">
                  <c:v>0.53197479955902949</c:v>
                </c:pt>
                <c:pt idx="42">
                  <c:v>0.58238564168500906</c:v>
                </c:pt>
                <c:pt idx="43">
                  <c:v>0.63720493551028146</c:v>
                </c:pt>
                <c:pt idx="44">
                  <c:v>0.69711558937972773</c:v>
                </c:pt>
                <c:pt idx="45">
                  <c:v>0.76218644674819624</c:v>
                </c:pt>
                <c:pt idx="46">
                  <c:v>0.83269529723302083</c:v>
                </c:pt>
                <c:pt idx="47">
                  <c:v>0.90882923724524134</c:v>
                </c:pt>
                <c:pt idx="48">
                  <c:v>0.99118158812956447</c:v>
                </c:pt>
                <c:pt idx="49">
                  <c:v>1.0793969596710351</c:v>
                </c:pt>
                <c:pt idx="50">
                  <c:v>1.1734611480836614</c:v>
                </c:pt>
                <c:pt idx="51">
                  <c:v>1.27359355098816</c:v>
                </c:pt>
                <c:pt idx="52">
                  <c:v>1.3789664964122867</c:v>
                </c:pt>
                <c:pt idx="53">
                  <c:v>1.4890959184947379</c:v>
                </c:pt>
                <c:pt idx="54">
                  <c:v>1.6026120632358405</c:v>
                </c:pt>
                <c:pt idx="55">
                  <c:v>1.7182840734834262</c:v>
                </c:pt>
                <c:pt idx="56">
                  <c:v>1.834101174547248</c:v>
                </c:pt>
                <c:pt idx="57">
                  <c:v>1.9476759854376486</c:v>
                </c:pt>
                <c:pt idx="58">
                  <c:v>2.0560035002466268</c:v>
                </c:pt>
                <c:pt idx="59">
                  <c:v>2.1563158441037467</c:v>
                </c:pt>
                <c:pt idx="60">
                  <c:v>2.2456315714576776</c:v>
                </c:pt>
                <c:pt idx="61">
                  <c:v>2.3211035016303998</c:v>
                </c:pt>
                <c:pt idx="62">
                  <c:v>2.3827456703702219</c:v>
                </c:pt>
                <c:pt idx="63">
                  <c:v>2.4314627717536283</c:v>
                </c:pt>
                <c:pt idx="64">
                  <c:v>2.4724405584379179</c:v>
                </c:pt>
                <c:pt idx="65">
                  <c:v>2.5155708964639487</c:v>
                </c:pt>
                <c:pt idx="66">
                  <c:v>2.5754972453756202</c:v>
                </c:pt>
                <c:pt idx="67">
                  <c:v>2.6718066547699344</c:v>
                </c:pt>
                <c:pt idx="68">
                  <c:v>2.8249515560912171</c:v>
                </c:pt>
                <c:pt idx="69">
                  <c:v>3.0548360278841447</c:v>
                </c:pt>
                <c:pt idx="70">
                  <c:v>3.3727244416986033</c:v>
                </c:pt>
                <c:pt idx="71">
                  <c:v>3.7742906566699443</c:v>
                </c:pt>
                <c:pt idx="72">
                  <c:v>4.233023492512026</c:v>
                </c:pt>
                <c:pt idx="73">
                  <c:v>4.6977343335182402</c:v>
                </c:pt>
                <c:pt idx="74">
                  <c:v>5.0891585061477222</c:v>
                </c:pt>
                <c:pt idx="75">
                  <c:v>5.308401670391925</c:v>
                </c:pt>
                <c:pt idx="76">
                  <c:v>5.2471885785439341</c:v>
                </c:pt>
                <c:pt idx="77">
                  <c:v>4.8207142135646448</c:v>
                </c:pt>
                <c:pt idx="78">
                  <c:v>4.0105720408629715</c:v>
                </c:pt>
                <c:pt idx="79">
                  <c:v>2.9227643114414472</c:v>
                </c:pt>
                <c:pt idx="80">
                  <c:v>1.7804790118685556</c:v>
                </c:pt>
                <c:pt idx="81">
                  <c:v>0.852367051437257</c:v>
                </c:pt>
                <c:pt idx="82">
                  <c:v>0.29549831378843233</c:v>
                </c:pt>
                <c:pt idx="83">
                  <c:v>6.6343919483154282E-2</c:v>
                </c:pt>
                <c:pt idx="84">
                  <c:v>8.2880931495847143E-3</c:v>
                </c:pt>
                <c:pt idx="85">
                  <c:v>4.7042708358470089E-4</c:v>
                </c:pt>
                <c:pt idx="86">
                  <c:v>9.8016223620192911E-6</c:v>
                </c:pt>
                <c:pt idx="87">
                  <c:v>3.2108919354319959E-7</c:v>
                </c:pt>
                <c:pt idx="88">
                  <c:v>2.5062938001808282E-7</c:v>
                </c:pt>
                <c:pt idx="89">
                  <c:v>2.2821025153998143E-7</c:v>
                </c:pt>
                <c:pt idx="90">
                  <c:v>2.0795537911870903E-7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  <c:pt idx="100">
                  <c:v>8.1803289134226516E-8</c:v>
                </c:pt>
                <c:pt idx="101">
                  <c:v>7.4517087804433268E-8</c:v>
                </c:pt>
                <c:pt idx="102">
                  <c:v>6.7879512494512499E-8</c:v>
                </c:pt>
                <c:pt idx="103">
                  <c:v>6.1833980206829144E-8</c:v>
                </c:pt>
                <c:pt idx="104">
                  <c:v>5.632578877312871E-8</c:v>
                </c:pt>
                <c:pt idx="105">
                  <c:v>5.1308685202487827E-8</c:v>
                </c:pt>
                <c:pt idx="106">
                  <c:v>4.6738497745299302E-8</c:v>
                </c:pt>
                <c:pt idx="107">
                  <c:v>4.2574910963790133E-8</c:v>
                </c:pt>
                <c:pt idx="108">
                  <c:v>3.8782708429474044E-8</c:v>
                </c:pt>
                <c:pt idx="109">
                  <c:v>3.5329121312686719E-8</c:v>
                </c:pt>
                <c:pt idx="110">
                  <c:v>3.2181290947335024E-8</c:v>
                </c:pt>
                <c:pt idx="111">
                  <c:v>2.9315194045647966E-8</c:v>
                </c:pt>
                <c:pt idx="112">
                  <c:v>2.6702736851863228E-8</c:v>
                </c:pt>
                <c:pt idx="113">
                  <c:v>2.4324695911430768E-8</c:v>
                </c:pt>
                <c:pt idx="114">
                  <c:v>2.2157814077021244E-8</c:v>
                </c:pt>
                <c:pt idx="115">
                  <c:v>2.0183384389351978E-8</c:v>
                </c:pt>
                <c:pt idx="116">
                  <c:v>1.8385537634304756E-8</c:v>
                </c:pt>
              </c:numCache>
            </c:numRef>
          </c:yVal>
          <c:smooth val="1"/>
        </c:ser>
        <c:ser>
          <c:idx val="2"/>
          <c:order val="2"/>
          <c:tx>
            <c:v>Moda 1</c:v>
          </c:tx>
          <c:spPr>
            <a:ln w="19050"/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Weibull!$C$2:$C$101</c:f>
              <c:numCache>
                <c:formatCode>General</c:formatCode>
                <c:ptCount val="100"/>
                <c:pt idx="0">
                  <c:v>1.2441916245172612E-2</c:v>
                </c:pt>
                <c:pt idx="1">
                  <c:v>1.3661526354126416E-2</c:v>
                </c:pt>
                <c:pt idx="2">
                  <c:v>1.4879039559692117E-2</c:v>
                </c:pt>
                <c:pt idx="3">
                  <c:v>1.639824955093E-2</c:v>
                </c:pt>
                <c:pt idx="4">
                  <c:v>1.7914745025568724E-2</c:v>
                </c:pt>
                <c:pt idx="5">
                  <c:v>1.9731286915105742E-2</c:v>
                </c:pt>
                <c:pt idx="6">
                  <c:v>2.154459682448516E-2</c:v>
                </c:pt>
                <c:pt idx="7">
                  <c:v>2.3656409892891458E-2</c:v>
                </c:pt>
                <c:pt idx="8">
                  <c:v>2.576456928382018E-2</c:v>
                </c:pt>
                <c:pt idx="9">
                  <c:v>2.8470176264657216E-2</c:v>
                </c:pt>
                <c:pt idx="10">
                  <c:v>3.1170778556614844E-2</c:v>
                </c:pt>
                <c:pt idx="11">
                  <c:v>3.4166108875707729E-2</c:v>
                </c:pt>
                <c:pt idx="12">
                  <c:v>3.7156297479048583E-2</c:v>
                </c:pt>
                <c:pt idx="13">
                  <c:v>4.0738314019179767E-2</c:v>
                </c:pt>
                <c:pt idx="14">
                  <c:v>4.49095101301977E-2</c:v>
                </c:pt>
                <c:pt idx="15">
                  <c:v>4.9073011233935107E-2</c:v>
                </c:pt>
                <c:pt idx="16">
                  <c:v>5.3822683329392038E-2</c:v>
                </c:pt>
                <c:pt idx="17">
                  <c:v>5.8859969538673319E-2</c:v>
                </c:pt>
                <c:pt idx="18">
                  <c:v>6.4479530566899909E-2</c:v>
                </c:pt>
                <c:pt idx="19">
                  <c:v>7.0678931932374428E-2</c:v>
                </c:pt>
                <c:pt idx="20">
                  <c:v>7.7455771292463893E-2</c:v>
                </c:pt>
                <c:pt idx="21">
                  <c:v>8.5101462385480039E-2</c:v>
                </c:pt>
                <c:pt idx="22">
                  <c:v>9.3025521332567446E-2</c:v>
                </c:pt>
                <c:pt idx="23">
                  <c:v>0.10210518847213977</c:v>
                </c:pt>
                <c:pt idx="24">
                  <c:v>0.11175054124928109</c:v>
                </c:pt>
                <c:pt idx="25">
                  <c:v>0.12254193051636163</c:v>
                </c:pt>
                <c:pt idx="26">
                  <c:v>0.13418241733615571</c:v>
                </c:pt>
                <c:pt idx="27">
                  <c:v>0.14695753313766138</c:v>
                </c:pt>
                <c:pt idx="28">
                  <c:v>0.16114979395793569</c:v>
                </c:pt>
                <c:pt idx="29">
                  <c:v>0.17646125251532641</c:v>
                </c:pt>
                <c:pt idx="30">
                  <c:v>0.19317188912184491</c:v>
                </c:pt>
                <c:pt idx="31">
                  <c:v>0.21184453567126141</c:v>
                </c:pt>
                <c:pt idx="32">
                  <c:v>0.23188995229797305</c:v>
                </c:pt>
                <c:pt idx="33">
                  <c:v>0.25386451004482102</c:v>
                </c:pt>
                <c:pt idx="34">
                  <c:v>0.27803056748067212</c:v>
                </c:pt>
                <c:pt idx="35">
                  <c:v>0.30464275122792095</c:v>
                </c:pt>
                <c:pt idx="36">
                  <c:v>0.33338399897738291</c:v>
                </c:pt>
                <c:pt idx="37">
                  <c:v>0.36477652435616426</c:v>
                </c:pt>
                <c:pt idx="38">
                  <c:v>0.39904544880677323</c:v>
                </c:pt>
                <c:pt idx="39">
                  <c:v>0.43667499322713005</c:v>
                </c:pt>
                <c:pt idx="40">
                  <c:v>0.47729955281130604</c:v>
                </c:pt>
                <c:pt idx="41">
                  <c:v>0.52190071623331724</c:v>
                </c:pt>
                <c:pt idx="42">
                  <c:v>0.57005635541506805</c:v>
                </c:pt>
                <c:pt idx="43">
                  <c:v>0.62212093099704291</c:v>
                </c:pt>
                <c:pt idx="44">
                  <c:v>0.67864484201239783</c:v>
                </c:pt>
                <c:pt idx="45">
                  <c:v>0.73956961863238435</c:v>
                </c:pt>
                <c:pt idx="46">
                  <c:v>0.80500418561470966</c:v>
                </c:pt>
                <c:pt idx="47">
                  <c:v>0.87493386726773226</c:v>
                </c:pt>
                <c:pt idx="48">
                  <c:v>0.94966091446355594</c:v>
                </c:pt>
                <c:pt idx="49">
                  <c:v>1.0285571722400733</c:v>
                </c:pt>
                <c:pt idx="50">
                  <c:v>1.111231145384157</c:v>
                </c:pt>
                <c:pt idx="51">
                  <c:v>1.1973801578642562</c:v>
                </c:pt>
                <c:pt idx="52">
                  <c:v>1.2856554741498796</c:v>
                </c:pt>
                <c:pt idx="53">
                  <c:v>1.3748344956694851</c:v>
                </c:pt>
                <c:pt idx="54">
                  <c:v>1.4627526177001746</c:v>
                </c:pt>
                <c:pt idx="55">
                  <c:v>1.5470841656237126</c:v>
                </c:pt>
                <c:pt idx="56">
                  <c:v>1.6245590214201058</c:v>
                </c:pt>
                <c:pt idx="57">
                  <c:v>1.6912296812045093</c:v>
                </c:pt>
                <c:pt idx="58">
                  <c:v>1.7423147816282565</c:v>
                </c:pt>
                <c:pt idx="59">
                  <c:v>1.7726407475962254</c:v>
                </c:pt>
                <c:pt idx="60">
                  <c:v>1.7764514396876334</c:v>
                </c:pt>
                <c:pt idx="61">
                  <c:v>1.748384470440894</c:v>
                </c:pt>
                <c:pt idx="62">
                  <c:v>1.6833554911722193</c:v>
                </c:pt>
                <c:pt idx="63">
                  <c:v>1.5788625841897936</c:v>
                </c:pt>
                <c:pt idx="64">
                  <c:v>1.435279473530167</c:v>
                </c:pt>
                <c:pt idx="65">
                  <c:v>1.2558596169550003</c:v>
                </c:pt>
                <c:pt idx="66">
                  <c:v>1.0497504041087917</c:v>
                </c:pt>
                <c:pt idx="67">
                  <c:v>0.829874832359909</c:v>
                </c:pt>
                <c:pt idx="68">
                  <c:v>0.61492363623922752</c:v>
                </c:pt>
                <c:pt idx="69">
                  <c:v>0.420729932555997</c:v>
                </c:pt>
                <c:pt idx="70">
                  <c:v>0.26147468001752056</c:v>
                </c:pt>
                <c:pt idx="71">
                  <c:v>0.14477753575387628</c:v>
                </c:pt>
                <c:pt idx="72">
                  <c:v>6.9821946499936047E-2</c:v>
                </c:pt>
                <c:pt idx="73">
                  <c:v>2.848407603281641E-2</c:v>
                </c:pt>
                <c:pt idx="74">
                  <c:v>9.5253657683180074E-3</c:v>
                </c:pt>
                <c:pt idx="75">
                  <c:v>2.5002001652670329E-3</c:v>
                </c:pt>
                <c:pt idx="76">
                  <c:v>4.9105374230991783E-4</c:v>
                </c:pt>
                <c:pt idx="77">
                  <c:v>6.8260226173787612E-5</c:v>
                </c:pt>
                <c:pt idx="78">
                  <c:v>6.204465793946148E-6</c:v>
                </c:pt>
                <c:pt idx="79">
                  <c:v>3.4261864346684177E-7</c:v>
                </c:pt>
                <c:pt idx="80">
                  <c:v>1.0268682336180311E-8</c:v>
                </c:pt>
                <c:pt idx="81">
                  <c:v>1.4786071860636339E-10</c:v>
                </c:pt>
                <c:pt idx="82">
                  <c:v>8.8712456570067993E-13</c:v>
                </c:pt>
                <c:pt idx="83">
                  <c:v>1.8501853645361149E-15</c:v>
                </c:pt>
                <c:pt idx="84">
                  <c:v>1.0744337478824529E-18</c:v>
                </c:pt>
                <c:pt idx="85">
                  <c:v>1.3372841439941844E-22</c:v>
                </c:pt>
                <c:pt idx="86">
                  <c:v>2.8229337500397392E-27</c:v>
                </c:pt>
                <c:pt idx="87">
                  <c:v>6.2877268673162908E-33</c:v>
                </c:pt>
                <c:pt idx="88">
                  <c:v>9.3628379499219622E-40</c:v>
                </c:pt>
                <c:pt idx="89">
                  <c:v>5.4635397081123672E-48</c:v>
                </c:pt>
                <c:pt idx="90">
                  <c:v>7.8007880997568312E-58</c:v>
                </c:pt>
                <c:pt idx="91">
                  <c:v>9.9403743100625681E-70</c:v>
                </c:pt>
                <c:pt idx="92">
                  <c:v>4.7108244050242154E-84</c:v>
                </c:pt>
                <c:pt idx="93">
                  <c:v>3.0336179421444015E-101</c:v>
                </c:pt>
                <c:pt idx="94">
                  <c:v>5.4209149449406159E-122</c:v>
                </c:pt>
                <c:pt idx="95">
                  <c:v>5.0258992663246905E-147</c:v>
                </c:pt>
                <c:pt idx="96">
                  <c:v>5.7185799231940291E-177</c:v>
                </c:pt>
                <c:pt idx="97">
                  <c:v>3.9547996430433114E-213</c:v>
                </c:pt>
                <c:pt idx="98">
                  <c:v>1.4816995751351863E-256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Moda 2</c:v>
          </c:tx>
          <c:spPr>
            <a:ln w="19050"/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Weibull!$E$2:$E$101</c:f>
              <c:numCache>
                <c:formatCode>General</c:formatCode>
                <c:ptCount val="100"/>
                <c:pt idx="0">
                  <c:v>9.1697192449751721E-4</c:v>
                </c:pt>
                <c:pt idx="1">
                  <c:v>8.3367015551794586E-4</c:v>
                </c:pt>
                <c:pt idx="2">
                  <c:v>7.6424672261460748E-4</c:v>
                </c:pt>
                <c:pt idx="3">
                  <c:v>6.9219800796109271E-4</c:v>
                </c:pt>
                <c:pt idx="4">
                  <c:v>6.3256686315646545E-4</c:v>
                </c:pt>
                <c:pt idx="5">
                  <c:v>5.7330389729063594E-4</c:v>
                </c:pt>
                <c:pt idx="6">
                  <c:v>5.241965946008346E-4</c:v>
                </c:pt>
                <c:pt idx="7">
                  <c:v>4.7657390806092522E-4</c:v>
                </c:pt>
                <c:pt idx="8">
                  <c:v>4.3688549687533626E-4</c:v>
                </c:pt>
                <c:pt idx="9">
                  <c:v>3.9463346001500843E-4</c:v>
                </c:pt>
                <c:pt idx="10">
                  <c:v>3.5983507241035427E-4</c:v>
                </c:pt>
                <c:pt idx="11">
                  <c:v>3.2772715727841738E-4</c:v>
                </c:pt>
                <c:pt idx="12">
                  <c:v>3.0088103224297562E-4</c:v>
                </c:pt>
                <c:pt idx="13">
                  <c:v>2.7395298372524183E-4</c:v>
                </c:pt>
                <c:pt idx="14">
                  <c:v>2.480541345514944E-4</c:v>
                </c:pt>
                <c:pt idx="15">
                  <c:v>2.2663015740195748E-4</c:v>
                </c:pt>
                <c:pt idx="16">
                  <c:v>2.0627087936593954E-4</c:v>
                </c:pt>
                <c:pt idx="17">
                  <c:v>1.8829872461325402E-4</c:v>
                </c:pt>
                <c:pt idx="18">
                  <c:v>1.7159016781568626E-4</c:v>
                </c:pt>
                <c:pt idx="19">
                  <c:v>1.5626521020465091E-4</c:v>
                </c:pt>
                <c:pt idx="20">
                  <c:v>1.4234231671353916E-4</c:v>
                </c:pt>
                <c:pt idx="21">
                  <c:v>1.293180846599717E-4</c:v>
                </c:pt>
                <c:pt idx="22">
                  <c:v>1.1809715711124493E-4</c:v>
                </c:pt>
                <c:pt idx="23">
                  <c:v>1.0739810550834156E-4</c:v>
                </c:pt>
                <c:pt idx="24">
                  <c:v>9.7951998242043427E-5</c:v>
                </c:pt>
                <c:pt idx="25">
                  <c:v>8.9159844662419386E-5</c:v>
                </c:pt>
                <c:pt idx="26">
                  <c:v>8.1273571411470907E-5</c:v>
                </c:pt>
                <c:pt idx="27">
                  <c:v>7.4067393547989736E-5</c:v>
                </c:pt>
                <c:pt idx="28">
                  <c:v>6.7411366267016467E-5</c:v>
                </c:pt>
                <c:pt idx="29">
                  <c:v>6.1439641284526464E-5</c:v>
                </c:pt>
                <c:pt idx="30">
                  <c:v>5.6010033767990263E-5</c:v>
                </c:pt>
                <c:pt idx="31">
                  <c:v>5.0962916195837951E-5</c:v>
                </c:pt>
                <c:pt idx="32">
                  <c:v>4.6454968880096987E-5</c:v>
                </c:pt>
                <c:pt idx="33">
                  <c:v>4.2335797447965226E-5</c:v>
                </c:pt>
                <c:pt idx="34">
                  <c:v>3.8561429823035514E-5</c:v>
                </c:pt>
                <c:pt idx="35">
                  <c:v>3.5100852956838365E-5</c:v>
                </c:pt>
                <c:pt idx="36">
                  <c:v>3.1986157327968722E-5</c:v>
                </c:pt>
                <c:pt idx="37">
                  <c:v>2.9146365549088753E-5</c:v>
                </c:pt>
                <c:pt idx="38">
                  <c:v>2.6557087917007652E-5</c:v>
                </c:pt>
                <c:pt idx="39">
                  <c:v>2.41818630544442E-5</c:v>
                </c:pt>
                <c:pt idx="40">
                  <c:v>2.2037057006645819E-5</c:v>
                </c:pt>
                <c:pt idx="41">
                  <c:v>2.0065050421783761E-5</c:v>
                </c:pt>
                <c:pt idx="42">
                  <c:v>1.8279709000641202E-5</c:v>
                </c:pt>
                <c:pt idx="43">
                  <c:v>1.6656902359851514E-5</c:v>
                </c:pt>
                <c:pt idx="44">
                  <c:v>1.5172532643898378E-5</c:v>
                </c:pt>
                <c:pt idx="45">
                  <c:v>1.3821157200787723E-5</c:v>
                </c:pt>
                <c:pt idx="46">
                  <c:v>1.2590917150987843E-5</c:v>
                </c:pt>
                <c:pt idx="47">
                  <c:v>1.1471652286926823E-5</c:v>
                </c:pt>
                <c:pt idx="48">
                  <c:v>1.0448362133830905E-5</c:v>
                </c:pt>
                <c:pt idx="49">
                  <c:v>9.5182225660438531E-6</c:v>
                </c:pt>
                <c:pt idx="50">
                  <c:v>8.6721624006127018E-6</c:v>
                </c:pt>
                <c:pt idx="51">
                  <c:v>7.8992514249666144E-6</c:v>
                </c:pt>
                <c:pt idx="52">
                  <c:v>7.1960919411658193E-6</c:v>
                </c:pt>
                <c:pt idx="53">
                  <c:v>6.5549044933083588E-6</c:v>
                </c:pt>
                <c:pt idx="54">
                  <c:v>5.9717385471191497E-6</c:v>
                </c:pt>
                <c:pt idx="55">
                  <c:v>5.4400720956689061E-6</c:v>
                </c:pt>
                <c:pt idx="56">
                  <c:v>4.9556364133865853E-6</c:v>
                </c:pt>
                <c:pt idx="57">
                  <c:v>4.5141325049904592E-6</c:v>
                </c:pt>
                <c:pt idx="58">
                  <c:v>4.1124303906305162E-6</c:v>
                </c:pt>
                <c:pt idx="59">
                  <c:v>3.746003494571596E-6</c:v>
                </c:pt>
                <c:pt idx="60">
                  <c:v>3.4117838006234063E-6</c:v>
                </c:pt>
                <c:pt idx="61">
                  <c:v>3.1090245932806114E-6</c:v>
                </c:pt>
                <c:pt idx="62">
                  <c:v>2.8314446340251234E-6</c:v>
                </c:pt>
                <c:pt idx="63">
                  <c:v>2.5793223900683667E-6</c:v>
                </c:pt>
                <c:pt idx="64">
                  <c:v>2.3502732017905188E-6</c:v>
                </c:pt>
                <c:pt idx="65">
                  <c:v>2.14100025444758E-6</c:v>
                </c:pt>
                <c:pt idx="66">
                  <c:v>1.9503161097909747E-6</c:v>
                </c:pt>
                <c:pt idx="67">
                  <c:v>1.776123098688092E-6</c:v>
                </c:pt>
                <c:pt idx="68">
                  <c:v>1.6183027944962031E-6</c:v>
                </c:pt>
                <c:pt idx="69">
                  <c:v>1.4743288524631526E-6</c:v>
                </c:pt>
                <c:pt idx="70">
                  <c:v>1.3430068001975385E-6</c:v>
                </c:pt>
                <c:pt idx="71">
                  <c:v>1.2233247832460284E-6</c:v>
                </c:pt>
                <c:pt idx="72">
                  <c:v>1.1143824375622251E-6</c:v>
                </c:pt>
                <c:pt idx="73">
                  <c:v>1.0150695610910781E-6</c:v>
                </c:pt>
                <c:pt idx="74">
                  <c:v>9.2474724191319222E-7</c:v>
                </c:pt>
                <c:pt idx="75">
                  <c:v>8.4238008460716046E-7</c:v>
                </c:pt>
                <c:pt idx="76">
                  <c:v>7.6735501720542639E-7</c:v>
                </c:pt>
                <c:pt idx="77">
                  <c:v>6.9911114867728532E-7</c:v>
                </c:pt>
                <c:pt idx="78">
                  <c:v>6.367911803261338E-7</c:v>
                </c:pt>
                <c:pt idx="79">
                  <c:v>5.8015442474630593E-7</c:v>
                </c:pt>
                <c:pt idx="80">
                  <c:v>5.2848335077912987E-7</c:v>
                </c:pt>
                <c:pt idx="81">
                  <c:v>4.8139005711037262E-7</c:v>
                </c:pt>
                <c:pt idx="82">
                  <c:v>4.3852542937511377E-7</c:v>
                </c:pt>
                <c:pt idx="83">
                  <c:v>3.9947808045292069E-7</c:v>
                </c:pt>
                <c:pt idx="84">
                  <c:v>3.6387678143821585E-7</c:v>
                </c:pt>
                <c:pt idx="85">
                  <c:v>3.31422672800633E-7</c:v>
                </c:pt>
                <c:pt idx="86">
                  <c:v>3.0203496769268849E-7</c:v>
                </c:pt>
                <c:pt idx="87">
                  <c:v>2.7515160245351829E-7</c:v>
                </c:pt>
                <c:pt idx="88">
                  <c:v>2.5059705033304353E-7</c:v>
                </c:pt>
                <c:pt idx="89">
                  <c:v>2.2821024983030294E-7</c:v>
                </c:pt>
                <c:pt idx="90">
                  <c:v>2.0795537911870591E-7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</c:numCache>
            </c:numRef>
          </c:yVal>
          <c:smooth val="1"/>
        </c:ser>
        <c:ser>
          <c:idx val="1"/>
          <c:order val="4"/>
          <c:tx>
            <c:v>Moda 3</c:v>
          </c:tx>
          <c:spPr>
            <a:ln w="1905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Weibull!$A$2:$A$118</c:f>
              <c:numCache>
                <c:formatCode>General</c:formatCode>
                <c:ptCount val="117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  <c:pt idx="100">
                  <c:v>449.66</c:v>
                </c:pt>
                <c:pt idx="101">
                  <c:v>493.62</c:v>
                </c:pt>
                <c:pt idx="102">
                  <c:v>541.88</c:v>
                </c:pt>
                <c:pt idx="103">
                  <c:v>594.85</c:v>
                </c:pt>
                <c:pt idx="104">
                  <c:v>653.01</c:v>
                </c:pt>
                <c:pt idx="105">
                  <c:v>716.85</c:v>
                </c:pt>
                <c:pt idx="106">
                  <c:v>786.93</c:v>
                </c:pt>
                <c:pt idx="107">
                  <c:v>863.87</c:v>
                </c:pt>
                <c:pt idx="108">
                  <c:v>948.32</c:v>
                </c:pt>
                <c:pt idx="109">
                  <c:v>1041</c:v>
                </c:pt>
                <c:pt idx="110">
                  <c:v>1142.8</c:v>
                </c:pt>
                <c:pt idx="111">
                  <c:v>1254.5</c:v>
                </c:pt>
                <c:pt idx="112">
                  <c:v>1377.2</c:v>
                </c:pt>
                <c:pt idx="113">
                  <c:v>1511.8</c:v>
                </c:pt>
                <c:pt idx="114">
                  <c:v>1659.6</c:v>
                </c:pt>
                <c:pt idx="115">
                  <c:v>1821.9</c:v>
                </c:pt>
                <c:pt idx="116">
                  <c:v>2000</c:v>
                </c:pt>
              </c:numCache>
            </c:numRef>
          </c:xVal>
          <c:yVal>
            <c:numRef>
              <c:f>Weibull!$F$2:$F$118</c:f>
              <c:numCache>
                <c:formatCode>General</c:formatCode>
                <c:ptCount val="117"/>
                <c:pt idx="0">
                  <c:v>2.4779443923670254E-6</c:v>
                </c:pt>
                <c:pt idx="1">
                  <c:v>3.0480205937496266E-6</c:v>
                </c:pt>
                <c:pt idx="2">
                  <c:v>3.682257997105923E-6</c:v>
                </c:pt>
                <c:pt idx="3">
                  <c:v>4.5667550101010029E-6</c:v>
                </c:pt>
                <c:pt idx="4">
                  <c:v>5.5547740231605272E-6</c:v>
                </c:pt>
                <c:pt idx="5">
                  <c:v>6.8793250369549857E-6</c:v>
                </c:pt>
                <c:pt idx="6">
                  <c:v>8.3578777904406369E-6</c:v>
                </c:pt>
                <c:pt idx="7">
                  <c:v>1.0280692213062899E-5</c:v>
                </c:pt>
                <c:pt idx="8">
                  <c:v>1.2419916447929344E-5</c:v>
                </c:pt>
                <c:pt idx="9">
                  <c:v>1.5493584776674379E-5</c:v>
                </c:pt>
                <c:pt idx="10">
                  <c:v>1.8936830404643519E-5</c:v>
                </c:pt>
                <c:pt idx="11">
                  <c:v>2.320332852431549E-5</c:v>
                </c:pt>
                <c:pt idx="12">
                  <c:v>2.7940972864330691E-5</c:v>
                </c:pt>
                <c:pt idx="13">
                  <c:v>3.4257895952367399E-5</c:v>
                </c:pt>
                <c:pt idx="14">
                  <c:v>4.251281381238953E-5</c:v>
                </c:pt>
                <c:pt idx="15">
                  <c:v>5.1736653816156991E-5</c:v>
                </c:pt>
                <c:pt idx="16">
                  <c:v>6.3484125882100361E-5</c:v>
                </c:pt>
                <c:pt idx="17">
                  <c:v>7.7397793689911473E-5</c:v>
                </c:pt>
                <c:pt idx="18">
                  <c:v>9.472247155593428E-5</c:v>
                </c:pt>
                <c:pt idx="19">
                  <c:v>1.1608463614711526E-4</c:v>
                </c:pt>
                <c:pt idx="20">
                  <c:v>1.4219172944684435E-4</c:v>
                </c:pt>
                <c:pt idx="21">
                  <c:v>1.751722662576541E-4</c:v>
                </c:pt>
                <c:pt idx="22">
                  <c:v>2.1338008679972438E-4</c:v>
                </c:pt>
                <c:pt idx="23">
                  <c:v>2.623036737251246E-4</c:v>
                </c:pt>
                <c:pt idx="24">
                  <c:v>3.2041753547416298E-4</c:v>
                </c:pt>
                <c:pt idx="25">
                  <c:v>3.9309565661223837E-4</c:v>
                </c:pt>
                <c:pt idx="26">
                  <c:v>4.8075407087007479E-4</c:v>
                </c:pt>
                <c:pt idx="27">
                  <c:v>5.8826001560453856E-4</c:v>
                </c:pt>
                <c:pt idx="28">
                  <c:v>7.2186743361210147E-4</c:v>
                </c:pt>
                <c:pt idx="29">
                  <c:v>8.8312056730172582E-4</c:v>
                </c:pt>
                <c:pt idx="30">
                  <c:v>1.0798436199250139E-3</c:v>
                </c:pt>
                <c:pt idx="31">
                  <c:v>1.3258738626450387E-3</c:v>
                </c:pt>
                <c:pt idx="32">
                  <c:v>1.6215366338808628E-3</c:v>
                </c:pt>
                <c:pt idx="33">
                  <c:v>1.9841426660752713E-3</c:v>
                </c:pt>
                <c:pt idx="34">
                  <c:v>2.4306278289142167E-3</c:v>
                </c:pt>
                <c:pt idx="35">
                  <c:v>2.9817657655968363E-3</c:v>
                </c:pt>
                <c:pt idx="36">
                  <c:v>3.6490907579057024E-3</c:v>
                </c:pt>
                <c:pt idx="37">
                  <c:v>4.4662470537779313E-3</c:v>
                </c:pt>
                <c:pt idx="38">
                  <c:v>5.4670982403715119E-3</c:v>
                </c:pt>
                <c:pt idx="39">
                  <c:v>6.7018236864060197E-3</c:v>
                </c:pt>
                <c:pt idx="40">
                  <c:v>8.2008193132403068E-3</c:v>
                </c:pt>
                <c:pt idx="41">
                  <c:v>1.005401827529054E-2</c:v>
                </c:pt>
                <c:pt idx="42">
                  <c:v>1.2311006560940425E-2</c:v>
                </c:pt>
                <c:pt idx="43">
                  <c:v>1.5067347610878707E-2</c:v>
                </c:pt>
                <c:pt idx="44">
                  <c:v>1.8455574834685975E-2</c:v>
                </c:pt>
                <c:pt idx="45">
                  <c:v>2.2603006958611074E-2</c:v>
                </c:pt>
                <c:pt idx="46">
                  <c:v>2.7678520701160166E-2</c:v>
                </c:pt>
                <c:pt idx="47">
                  <c:v>3.3883898325222171E-2</c:v>
                </c:pt>
                <c:pt idx="48">
                  <c:v>4.1510225303874743E-2</c:v>
                </c:pt>
                <c:pt idx="49">
                  <c:v>5.0830269208395805E-2</c:v>
                </c:pt>
                <c:pt idx="50">
                  <c:v>6.2221330537103693E-2</c:v>
                </c:pt>
                <c:pt idx="51">
                  <c:v>7.6205493872478797E-2</c:v>
                </c:pt>
                <c:pt idx="52">
                  <c:v>9.3303826170465939E-2</c:v>
                </c:pt>
                <c:pt idx="53">
                  <c:v>0.11425486792075935</c:v>
                </c:pt>
                <c:pt idx="54">
                  <c:v>0.13985347379711857</c:v>
                </c:pt>
                <c:pt idx="55">
                  <c:v>0.17119446778761785</c:v>
                </c:pt>
                <c:pt idx="56">
                  <c:v>0.20953719749072883</c:v>
                </c:pt>
                <c:pt idx="57">
                  <c:v>0.25644179010063445</c:v>
                </c:pt>
                <c:pt idx="58">
                  <c:v>0.31368460618797955</c:v>
                </c:pt>
                <c:pt idx="59">
                  <c:v>0.38367135050402679</c:v>
                </c:pt>
                <c:pt idx="60">
                  <c:v>0.4691767199862435</c:v>
                </c:pt>
                <c:pt idx="61">
                  <c:v>0.57271592216491263</c:v>
                </c:pt>
                <c:pt idx="62">
                  <c:v>0.69938734775336864</c:v>
                </c:pt>
                <c:pt idx="63">
                  <c:v>0.85259760824144459</c:v>
                </c:pt>
                <c:pt idx="64">
                  <c:v>1.0371587346345488</c:v>
                </c:pt>
                <c:pt idx="65">
                  <c:v>1.2597091385086938</c:v>
                </c:pt>
                <c:pt idx="66">
                  <c:v>1.5257448909507187</c:v>
                </c:pt>
                <c:pt idx="67">
                  <c:v>1.8419300462869268</c:v>
                </c:pt>
                <c:pt idx="68">
                  <c:v>2.210026301549195</c:v>
                </c:pt>
                <c:pt idx="69">
                  <c:v>2.6341046209992953</c:v>
                </c:pt>
                <c:pt idx="70">
                  <c:v>3.1112484186742826</c:v>
                </c:pt>
                <c:pt idx="71">
                  <c:v>3.6295118975912848</c:v>
                </c:pt>
                <c:pt idx="72">
                  <c:v>4.1632004316296527</c:v>
                </c:pt>
                <c:pt idx="73">
                  <c:v>4.6692492424158631</c:v>
                </c:pt>
                <c:pt idx="74">
                  <c:v>5.0796322156321621</c:v>
                </c:pt>
                <c:pt idx="75">
                  <c:v>5.3059006278465732</c:v>
                </c:pt>
                <c:pt idx="76">
                  <c:v>5.2466967574466068</c:v>
                </c:pt>
                <c:pt idx="77">
                  <c:v>4.8206452542273226</c:v>
                </c:pt>
                <c:pt idx="78">
                  <c:v>4.0105651996059972</c:v>
                </c:pt>
                <c:pt idx="79">
                  <c:v>2.922763388668379</c:v>
                </c:pt>
                <c:pt idx="80">
                  <c:v>1.7804784731165224</c:v>
                </c:pt>
                <c:pt idx="81">
                  <c:v>0.85236656989933912</c:v>
                </c:pt>
                <c:pt idx="82">
                  <c:v>0.29549787526211585</c:v>
                </c:pt>
                <c:pt idx="83">
                  <c:v>6.6343520005071974E-2</c:v>
                </c:pt>
                <c:pt idx="84">
                  <c:v>8.2877292728032754E-3</c:v>
                </c:pt>
                <c:pt idx="85">
                  <c:v>4.7009566091190026E-4</c:v>
                </c:pt>
                <c:pt idx="86">
                  <c:v>9.4995873943266026E-6</c:v>
                </c:pt>
                <c:pt idx="87">
                  <c:v>4.5937591089681297E-8</c:v>
                </c:pt>
                <c:pt idx="88">
                  <c:v>3.2329685039296086E-11</c:v>
                </c:pt>
                <c:pt idx="89">
                  <c:v>1.7096784826906954E-15</c:v>
                </c:pt>
                <c:pt idx="90">
                  <c:v>3.1118602779435382E-21</c:v>
                </c:pt>
                <c:pt idx="91">
                  <c:v>5.2422842007886194E-29</c:v>
                </c:pt>
                <c:pt idx="92">
                  <c:v>1.7096490247503408E-39</c:v>
                </c:pt>
                <c:pt idx="93">
                  <c:v>1.3990552251741963E-53</c:v>
                </c:pt>
                <c:pt idx="94">
                  <c:v>1.329976901826383E-72</c:v>
                </c:pt>
                <c:pt idx="95">
                  <c:v>2.8020515885390912E-98</c:v>
                </c:pt>
                <c:pt idx="96">
                  <c:v>1.2673624048948648E-132</c:v>
                </c:pt>
                <c:pt idx="97">
                  <c:v>5.4647536485402299E-179</c:v>
                </c:pt>
                <c:pt idx="98">
                  <c:v>3.1048787592189841E-241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835840"/>
        <c:axId val="370837376"/>
      </c:scatterChart>
      <c:valAx>
        <c:axId val="370835840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837376"/>
        <c:crosses val="autoZero"/>
        <c:crossBetween val="midCat"/>
      </c:valAx>
      <c:valAx>
        <c:axId val="37083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83584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Normal!$C$2:$C$101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 formatCode="0.00E+00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Normal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Normal!$K$2:$K$118</c:f>
              <c:numCache>
                <c:formatCode>General</c:formatCode>
                <c:ptCount val="117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8.8451122804042066E-6</c:v>
                </c:pt>
                <c:pt idx="10">
                  <c:v>1.4314290504605203E-5</c:v>
                </c:pt>
                <c:pt idx="11">
                  <c:v>2.3078731871163335E-5</c:v>
                </c:pt>
                <c:pt idx="12">
                  <c:v>3.5413834065662085E-5</c:v>
                </c:pt>
                <c:pt idx="13">
                  <c:v>5.6114802329691744E-5</c:v>
                </c:pt>
                <c:pt idx="14">
                  <c:v>9.0394318358328864E-5</c:v>
                </c:pt>
                <c:pt idx="15">
                  <c:v>1.3813367505176327E-4</c:v>
                </c:pt>
                <c:pt idx="16">
                  <c:v>2.1280124548497326E-4</c:v>
                </c:pt>
                <c:pt idx="17">
                  <c:v>3.2033963799973561E-4</c:v>
                </c:pt>
                <c:pt idx="18">
                  <c:v>4.8139960600538745E-4</c:v>
                </c:pt>
                <c:pt idx="19">
                  <c:v>7.1837703545519203E-4</c:v>
                </c:pt>
                <c:pt idx="20">
                  <c:v>1.0605003786323527E-3</c:v>
                </c:pt>
                <c:pt idx="21">
                  <c:v>1.5668427187542733E-3</c:v>
                </c:pt>
                <c:pt idx="22">
                  <c:v>2.2450964638795292E-3</c:v>
                </c:pt>
                <c:pt idx="23">
                  <c:v>3.2386783648056363E-3</c:v>
                </c:pt>
                <c:pt idx="24">
                  <c:v>4.5755406445733464E-3</c:v>
                </c:pt>
                <c:pt idx="25">
                  <c:v>6.4488131169730878E-3</c:v>
                </c:pt>
                <c:pt idx="26">
                  <c:v>8.9541710105502208E-3</c:v>
                </c:pt>
                <c:pt idx="27">
                  <c:v>1.232354081404289E-2</c:v>
                </c:pt>
                <c:pt idx="28">
                  <c:v>1.6870151260915706E-2</c:v>
                </c:pt>
                <c:pt idx="29">
                  <c:v>2.2763693396431469E-2</c:v>
                </c:pt>
                <c:pt idx="30">
                  <c:v>3.0398968731031546E-2</c:v>
                </c:pt>
                <c:pt idx="31">
                  <c:v>4.0435392413845424E-2</c:v>
                </c:pt>
                <c:pt idx="32">
                  <c:v>5.2973209049479213E-2</c:v>
                </c:pt>
                <c:pt idx="33">
                  <c:v>6.8778296537838568E-2</c:v>
                </c:pt>
                <c:pt idx="34">
                  <c:v>8.8563478585618E-2</c:v>
                </c:pt>
                <c:pt idx="35">
                  <c:v>0.11311570694518276</c:v>
                </c:pt>
                <c:pt idx="36">
                  <c:v>0.1426618901122082</c:v>
                </c:pt>
                <c:pt idx="37">
                  <c:v>0.17821136016959949</c:v>
                </c:pt>
                <c:pt idx="38">
                  <c:v>0.22049960813087321</c:v>
                </c:pt>
                <c:pt idx="39">
                  <c:v>0.27056544811466715</c:v>
                </c:pt>
                <c:pt idx="40">
                  <c:v>0.32820047516967427</c:v>
                </c:pt>
                <c:pt idx="41">
                  <c:v>0.39493566274089476</c:v>
                </c:pt>
                <c:pt idx="42">
                  <c:v>0.47009914288666471</c:v>
                </c:pt>
                <c:pt idx="43">
                  <c:v>0.55393081259221177</c:v>
                </c:pt>
                <c:pt idx="44">
                  <c:v>0.64679726564537787</c:v>
                </c:pt>
                <c:pt idx="45">
                  <c:v>0.74782656397396718</c:v>
                </c:pt>
                <c:pt idx="46">
                  <c:v>0.85616020636315215</c:v>
                </c:pt>
                <c:pt idx="47">
                  <c:v>0.97051344106150561</c:v>
                </c:pt>
                <c:pt idx="48">
                  <c:v>1.0899294632808472</c:v>
                </c:pt>
                <c:pt idx="49">
                  <c:v>1.2118486316777046</c:v>
                </c:pt>
                <c:pt idx="50">
                  <c:v>1.334135312465728</c:v>
                </c:pt>
                <c:pt idx="51">
                  <c:v>1.4548865565554916</c:v>
                </c:pt>
                <c:pt idx="52">
                  <c:v>1.5710006828066312</c:v>
                </c:pt>
                <c:pt idx="53">
                  <c:v>1.6800731582259951</c:v>
                </c:pt>
                <c:pt idx="54">
                  <c:v>1.7792272395591322</c:v>
                </c:pt>
                <c:pt idx="55">
                  <c:v>1.8663554340543997</c:v>
                </c:pt>
                <c:pt idx="56">
                  <c:v>1.9395290034136397</c:v>
                </c:pt>
                <c:pt idx="57">
                  <c:v>1.9977205605767319</c:v>
                </c:pt>
                <c:pt idx="58">
                  <c:v>2.0411271305873093</c:v>
                </c:pt>
                <c:pt idx="59">
                  <c:v>2.072059608434929</c:v>
                </c:pt>
                <c:pt idx="60">
                  <c:v>2.0952660886905985</c:v>
                </c:pt>
                <c:pt idx="61">
                  <c:v>2.1184343310171418</c:v>
                </c:pt>
                <c:pt idx="62">
                  <c:v>2.1527045680555519</c:v>
                </c:pt>
                <c:pt idx="63">
                  <c:v>2.2105583688287482</c:v>
                </c:pt>
                <c:pt idx="64">
                  <c:v>2.3038785849791421</c:v>
                </c:pt>
                <c:pt idx="65">
                  <c:v>2.4409626917096321</c:v>
                </c:pt>
                <c:pt idx="66">
                  <c:v>2.6209704637661804</c:v>
                </c:pt>
                <c:pt idx="67">
                  <c:v>2.832909280671164</c:v>
                </c:pt>
                <c:pt idx="68">
                  <c:v>3.0547225842881796</c:v>
                </c:pt>
                <c:pt idx="69">
                  <c:v>3.2693507031377704</c:v>
                </c:pt>
                <c:pt idx="70">
                  <c:v>3.4776756584952677</c:v>
                </c:pt>
                <c:pt idx="71">
                  <c:v>3.715195668844709</c:v>
                </c:pt>
                <c:pt idx="72">
                  <c:v>4.04310257327794</c:v>
                </c:pt>
                <c:pt idx="73">
                  <c:v>4.4978907607587608</c:v>
                </c:pt>
                <c:pt idx="74">
                  <c:v>5.0135705451247388</c:v>
                </c:pt>
                <c:pt idx="75">
                  <c:v>5.3954168203781396</c:v>
                </c:pt>
                <c:pt idx="76">
                  <c:v>5.3947468330662636</c:v>
                </c:pt>
                <c:pt idx="77">
                  <c:v>4.8734672812620028</c:v>
                </c:pt>
                <c:pt idx="78">
                  <c:v>3.9113710611095525</c:v>
                </c:pt>
                <c:pt idx="79">
                  <c:v>2.7760545221806656</c:v>
                </c:pt>
                <c:pt idx="80">
                  <c:v>1.7483417460731274</c:v>
                </c:pt>
                <c:pt idx="81">
                  <c:v>0.99471275289107952</c:v>
                </c:pt>
                <c:pt idx="82">
                  <c:v>0.53124167724129778</c:v>
                </c:pt>
                <c:pt idx="83">
                  <c:v>0.28315599981066136</c:v>
                </c:pt>
                <c:pt idx="84">
                  <c:v>0.16154570680076838</c:v>
                </c:pt>
                <c:pt idx="85">
                  <c:v>0.10241699370975275</c:v>
                </c:pt>
                <c:pt idx="86">
                  <c:v>7.1115340038211641E-2</c:v>
                </c:pt>
                <c:pt idx="87">
                  <c:v>5.1780406392968936E-2</c:v>
                </c:pt>
                <c:pt idx="88">
                  <c:v>3.8388091721028382E-2</c:v>
                </c:pt>
                <c:pt idx="89">
                  <c:v>2.8540875308490782E-2</c:v>
                </c:pt>
                <c:pt idx="90">
                  <c:v>2.1181696718969713E-2</c:v>
                </c:pt>
                <c:pt idx="91">
                  <c:v>1.5593483120494194E-2</c:v>
                </c:pt>
                <c:pt idx="92">
                  <c:v>1.1382141767073096E-2</c:v>
                </c:pt>
                <c:pt idx="93">
                  <c:v>8.2400074949662838E-3</c:v>
                </c:pt>
                <c:pt idx="94">
                  <c:v>5.9034323093327314E-3</c:v>
                </c:pt>
                <c:pt idx="95">
                  <c:v>4.1855569443732437E-3</c:v>
                </c:pt>
                <c:pt idx="96">
                  <c:v>2.9449925644296202E-3</c:v>
                </c:pt>
                <c:pt idx="97">
                  <c:v>2.0493240925297156E-3</c:v>
                </c:pt>
                <c:pt idx="98">
                  <c:v>1.4131961888636925E-3</c:v>
                </c:pt>
                <c:pt idx="99">
                  <c:v>9.6452762772817095E-4</c:v>
                </c:pt>
                <c:pt idx="100">
                  <c:v>6.5197246573566261E-4</c:v>
                </c:pt>
                <c:pt idx="101">
                  <c:v>4.3648853307432878E-4</c:v>
                </c:pt>
                <c:pt idx="102">
                  <c:v>2.8938191774509678E-4</c:v>
                </c:pt>
                <c:pt idx="103">
                  <c:v>1.9000297665534353E-4</c:v>
                </c:pt>
                <c:pt idx="104">
                  <c:v>1.2353106089696178E-4</c:v>
                </c:pt>
                <c:pt idx="105">
                  <c:v>7.9537714657882468E-5</c:v>
                </c:pt>
                <c:pt idx="106">
                  <c:v>5.0715011265966334E-5</c:v>
                </c:pt>
                <c:pt idx="107">
                  <c:v>3.2021458486948145E-5</c:v>
                </c:pt>
                <c:pt idx="108">
                  <c:v>2.0023389022674308E-5</c:v>
                </c:pt>
                <c:pt idx="109">
                  <c:v>1.2400903613953292E-5</c:v>
                </c:pt>
                <c:pt idx="110">
                  <c:v>7.6034317350440266E-6</c:v>
                </c:pt>
                <c:pt idx="111">
                  <c:v>4.6177451554761243E-6</c:v>
                </c:pt>
                <c:pt idx="112">
                  <c:v>2.7763399310529782E-6</c:v>
                </c:pt>
                <c:pt idx="113">
                  <c:v>1.6536275280247643E-6</c:v>
                </c:pt>
                <c:pt idx="114">
                  <c:v>9.7521692141542865E-7</c:v>
                </c:pt>
                <c:pt idx="115">
                  <c:v>5.6945315714984693E-7</c:v>
                </c:pt>
                <c:pt idx="116">
                  <c:v>3.2935795854859877E-7</c:v>
                </c:pt>
              </c:numCache>
            </c:numRef>
          </c:yVal>
          <c:smooth val="1"/>
        </c:ser>
        <c:ser>
          <c:idx val="2"/>
          <c:order val="2"/>
          <c:tx>
            <c:v>Moda 1</c:v>
          </c:tx>
          <c:spPr>
            <a:ln w="19050"/>
          </c:spPr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Normal!$D$2:$D$101</c:f>
              <c:numCache>
                <c:formatCode>General</c:formatCode>
                <c:ptCount val="100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8.8451122804042066E-6</c:v>
                </c:pt>
                <c:pt idx="10">
                  <c:v>1.4314290504605203E-5</c:v>
                </c:pt>
                <c:pt idx="11">
                  <c:v>2.3078731871163335E-5</c:v>
                </c:pt>
                <c:pt idx="12">
                  <c:v>3.5413834065662085E-5</c:v>
                </c:pt>
                <c:pt idx="13">
                  <c:v>5.6114802329691744E-5</c:v>
                </c:pt>
                <c:pt idx="14">
                  <c:v>9.0394318358328864E-5</c:v>
                </c:pt>
                <c:pt idx="15">
                  <c:v>1.3813367505176327E-4</c:v>
                </c:pt>
                <c:pt idx="16">
                  <c:v>2.1280124548497326E-4</c:v>
                </c:pt>
                <c:pt idx="17">
                  <c:v>3.2033963799973561E-4</c:v>
                </c:pt>
                <c:pt idx="18">
                  <c:v>4.8139960600538745E-4</c:v>
                </c:pt>
                <c:pt idx="19">
                  <c:v>7.1837703545519203E-4</c:v>
                </c:pt>
                <c:pt idx="20">
                  <c:v>1.0605003786323527E-3</c:v>
                </c:pt>
                <c:pt idx="21">
                  <c:v>1.5668427187542733E-3</c:v>
                </c:pt>
                <c:pt idx="22">
                  <c:v>2.2450964638795292E-3</c:v>
                </c:pt>
                <c:pt idx="23">
                  <c:v>3.2386783648056363E-3</c:v>
                </c:pt>
                <c:pt idx="24">
                  <c:v>4.5755406445733464E-3</c:v>
                </c:pt>
                <c:pt idx="25">
                  <c:v>6.4488131169730878E-3</c:v>
                </c:pt>
                <c:pt idx="26">
                  <c:v>8.9541710105502208E-3</c:v>
                </c:pt>
                <c:pt idx="27">
                  <c:v>1.232354081404289E-2</c:v>
                </c:pt>
                <c:pt idx="28">
                  <c:v>1.6870151260915706E-2</c:v>
                </c:pt>
                <c:pt idx="29">
                  <c:v>2.2763693396431469E-2</c:v>
                </c:pt>
                <c:pt idx="30">
                  <c:v>3.0398968731031546E-2</c:v>
                </c:pt>
                <c:pt idx="31">
                  <c:v>4.0435392413845424E-2</c:v>
                </c:pt>
                <c:pt idx="32">
                  <c:v>5.2973209049479213E-2</c:v>
                </c:pt>
                <c:pt idx="33">
                  <c:v>6.8778296537838568E-2</c:v>
                </c:pt>
                <c:pt idx="34">
                  <c:v>8.8563478585618E-2</c:v>
                </c:pt>
                <c:pt idx="35">
                  <c:v>0.11311570694518272</c:v>
                </c:pt>
                <c:pt idx="36">
                  <c:v>0.14266189011220787</c:v>
                </c:pt>
                <c:pt idx="37">
                  <c:v>0.17821136016959704</c:v>
                </c:pt>
                <c:pt idx="38">
                  <c:v>0.22049960813085565</c:v>
                </c:pt>
                <c:pt idx="39">
                  <c:v>0.27056544811454669</c:v>
                </c:pt>
                <c:pt idx="40">
                  <c:v>0.32820047516890732</c:v>
                </c:pt>
                <c:pt idx="41">
                  <c:v>0.39493566273621067</c:v>
                </c:pt>
                <c:pt idx="42">
                  <c:v>0.4700991428599679</c:v>
                </c:pt>
                <c:pt idx="43">
                  <c:v>0.55393081244921916</c:v>
                </c:pt>
                <c:pt idx="44">
                  <c:v>0.64679726491799283</c:v>
                </c:pt>
                <c:pt idx="45">
                  <c:v>0.74782656048671736</c:v>
                </c:pt>
                <c:pt idx="46">
                  <c:v>0.85616019060712434</c:v>
                </c:pt>
                <c:pt idx="47">
                  <c:v>0.97051337403234794</c:v>
                </c:pt>
                <c:pt idx="48">
                  <c:v>1.0899291928902108</c:v>
                </c:pt>
                <c:pt idx="49">
                  <c:v>1.2118476057559602</c:v>
                </c:pt>
                <c:pt idx="50">
                  <c:v>1.3341316474188767</c:v>
                </c:pt>
                <c:pt idx="51">
                  <c:v>1.4548741611133436</c:v>
                </c:pt>
                <c:pt idx="52">
                  <c:v>1.5709611963156418</c:v>
                </c:pt>
                <c:pt idx="53">
                  <c:v>1.679954359955496</c:v>
                </c:pt>
                <c:pt idx="54">
                  <c:v>1.7788906347939708</c:v>
                </c:pt>
                <c:pt idx="55">
                  <c:v>1.8654549481169489</c:v>
                </c:pt>
                <c:pt idx="56">
                  <c:v>1.9372559101927975</c:v>
                </c:pt>
                <c:pt idx="57">
                  <c:v>1.9923052653247617</c:v>
                </c:pt>
                <c:pt idx="58">
                  <c:v>2.028968764462534</c:v>
                </c:pt>
                <c:pt idx="59">
                  <c:v>2.0462800772086251</c:v>
                </c:pt>
                <c:pt idx="60">
                  <c:v>2.0436563667220904</c:v>
                </c:pt>
                <c:pt idx="61">
                  <c:v>2.0213193569238292</c:v>
                </c:pt>
                <c:pt idx="62">
                  <c:v>1.979630062561613</c:v>
                </c:pt>
                <c:pt idx="63">
                  <c:v>1.9200631913662973</c:v>
                </c:pt>
                <c:pt idx="64">
                  <c:v>1.844445806797929</c:v>
                </c:pt>
                <c:pt idx="65">
                  <c:v>1.7544308366892705</c:v>
                </c:pt>
                <c:pt idx="66">
                  <c:v>1.6525824316778175</c:v>
                </c:pt>
                <c:pt idx="67">
                  <c:v>1.5411877996674956</c:v>
                </c:pt>
                <c:pt idx="68">
                  <c:v>1.4239079038187694</c:v>
                </c:pt>
                <c:pt idx="69">
                  <c:v>1.3026809252384126</c:v>
                </c:pt>
                <c:pt idx="70">
                  <c:v>1.1800743159196077</c:v>
                </c:pt>
                <c:pt idx="71">
                  <c:v>1.0585638295245436</c:v>
                </c:pt>
                <c:pt idx="72">
                  <c:v>0.94041574199993361</c:v>
                </c:pt>
                <c:pt idx="73">
                  <c:v>0.82725942764330207</c:v>
                </c:pt>
                <c:pt idx="74">
                  <c:v>0.72081007433876076</c:v>
                </c:pt>
                <c:pt idx="75">
                  <c:v>0.62187285378541157</c:v>
                </c:pt>
                <c:pt idx="76">
                  <c:v>0.53131224101151875</c:v>
                </c:pt>
                <c:pt idx="77">
                  <c:v>0.44964980623178014</c:v>
                </c:pt>
                <c:pt idx="78">
                  <c:v>0.37668787387824676</c:v>
                </c:pt>
                <c:pt idx="79">
                  <c:v>0.31263714208548649</c:v>
                </c:pt>
                <c:pt idx="80">
                  <c:v>0.25689031449465988</c:v>
                </c:pt>
                <c:pt idx="81">
                  <c:v>0.20901064667815661</c:v>
                </c:pt>
                <c:pt idx="82">
                  <c:v>0.16843141172614118</c:v>
                </c:pt>
                <c:pt idx="83">
                  <c:v>0.13441396499710268</c:v>
                </c:pt>
                <c:pt idx="84">
                  <c:v>0.10620294174198158</c:v>
                </c:pt>
                <c:pt idx="85">
                  <c:v>8.3080073017070571E-2</c:v>
                </c:pt>
                <c:pt idx="86">
                  <c:v>6.446094139930035E-2</c:v>
                </c:pt>
                <c:pt idx="87">
                  <c:v>4.9480771144003281E-2</c:v>
                </c:pt>
                <c:pt idx="88">
                  <c:v>3.7584931582642381E-2</c:v>
                </c:pt>
                <c:pt idx="89">
                  <c:v>2.8261744197170497E-2</c:v>
                </c:pt>
                <c:pt idx="90">
                  <c:v>2.1086522996661729E-2</c:v>
                </c:pt>
                <c:pt idx="91">
                  <c:v>1.5562527409024286E-2</c:v>
                </c:pt>
                <c:pt idx="92">
                  <c:v>1.1372588494246326E-2</c:v>
                </c:pt>
                <c:pt idx="93">
                  <c:v>8.2372105889322797E-3</c:v>
                </c:pt>
                <c:pt idx="94">
                  <c:v>5.9026620747873928E-3</c:v>
                </c:pt>
                <c:pt idx="95">
                  <c:v>4.1853574331461646E-3</c:v>
                </c:pt>
                <c:pt idx="96">
                  <c:v>2.9449434085023702E-3</c:v>
                </c:pt>
                <c:pt idx="97">
                  <c:v>2.0493127270249361E-3</c:v>
                </c:pt>
                <c:pt idx="98">
                  <c:v>1.4131937027913439E-3</c:v>
                </c:pt>
                <c:pt idx="99">
                  <c:v>9.6452711588775584E-4</c:v>
                </c:pt>
              </c:numCache>
            </c:numRef>
          </c:yVal>
          <c:smooth val="1"/>
        </c:ser>
        <c:ser>
          <c:idx val="3"/>
          <c:order val="3"/>
          <c:tx>
            <c:v>Moda 2</c:v>
          </c:tx>
          <c:spPr>
            <a:ln w="19050"/>
          </c:spPr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Normal!$F$2:$F$101</c:f>
              <c:numCache>
                <c:formatCode>General</c:formatCode>
                <c:ptCount val="100"/>
                <c:pt idx="0">
                  <c:v>7.5677574615342769E-65</c:v>
                </c:pt>
                <c:pt idx="1">
                  <c:v>5.1460063187853888E-63</c:v>
                </c:pt>
                <c:pt idx="2">
                  <c:v>2.2979798658382978E-61</c:v>
                </c:pt>
                <c:pt idx="3">
                  <c:v>1.6347590505865137E-59</c:v>
                </c:pt>
                <c:pt idx="4">
                  <c:v>7.4758305626498458E-58</c:v>
                </c:pt>
                <c:pt idx="5">
                  <c:v>4.56580737797231E-56</c:v>
                </c:pt>
                <c:pt idx="6">
                  <c:v>1.8227151754895603E-54</c:v>
                </c:pt>
                <c:pt idx="7">
                  <c:v>8.6716951270220273E-53</c:v>
                </c:pt>
                <c:pt idx="8">
                  <c:v>2.794913298453136E-51</c:v>
                </c:pt>
                <c:pt idx="9">
                  <c:v>1.5231327598564333E-49</c:v>
                </c:pt>
                <c:pt idx="10">
                  <c:v>5.4014170341278655E-48</c:v>
                </c:pt>
                <c:pt idx="11">
                  <c:v>1.8894496314526013E-46</c:v>
                </c:pt>
                <c:pt idx="12">
                  <c:v>4.6320893848619996E-45</c:v>
                </c:pt>
                <c:pt idx="13">
                  <c:v>1.4640065071065527E-43</c:v>
                </c:pt>
                <c:pt idx="14">
                  <c:v>5.3232077573342109E-42</c:v>
                </c:pt>
                <c:pt idx="15">
                  <c:v>1.3203905185851315E-40</c:v>
                </c:pt>
                <c:pt idx="16">
                  <c:v>3.5369670666840933E-39</c:v>
                </c:pt>
                <c:pt idx="17">
                  <c:v>8.070913753024162E-38</c:v>
                </c:pt>
                <c:pt idx="18">
                  <c:v>1.8472528774594925E-36</c:v>
                </c:pt>
                <c:pt idx="19">
                  <c:v>4.0736988370180799E-35</c:v>
                </c:pt>
                <c:pt idx="20">
                  <c:v>8.407840009564311E-34</c:v>
                </c:pt>
                <c:pt idx="21">
                  <c:v>1.7787586869079865E-32</c:v>
                </c:pt>
                <c:pt idx="22">
                  <c:v>3.0140346554927101E-31</c:v>
                </c:pt>
                <c:pt idx="23">
                  <c:v>5.4869253575492213E-30</c:v>
                </c:pt>
                <c:pt idx="24">
                  <c:v>8.6287674648357653E-29</c:v>
                </c:pt>
                <c:pt idx="25">
                  <c:v>1.3578025464042428E-27</c:v>
                </c:pt>
                <c:pt idx="26">
                  <c:v>1.9331439038724516E-26</c:v>
                </c:pt>
                <c:pt idx="27">
                  <c:v>2.6154816655846862E-25</c:v>
                </c:pt>
                <c:pt idx="28">
                  <c:v>3.4612690355424573E-24</c:v>
                </c:pt>
                <c:pt idx="29">
                  <c:v>4.158667215549504E-23</c:v>
                </c:pt>
                <c:pt idx="30">
                  <c:v>4.6879904354884482E-22</c:v>
                </c:pt>
                <c:pt idx="31">
                  <c:v>5.2361167896518594E-21</c:v>
                </c:pt>
                <c:pt idx="32">
                  <c:v>5.2678579946433923E-20</c:v>
                </c:pt>
                <c:pt idx="33">
                  <c:v>5.0319509139542698E-19</c:v>
                </c:pt>
                <c:pt idx="34">
                  <c:v>4.5931828952791271E-18</c:v>
                </c:pt>
                <c:pt idx="35">
                  <c:v>4.013157511008857E-17</c:v>
                </c:pt>
                <c:pt idx="36">
                  <c:v>3.2248179428818175E-16</c:v>
                </c:pt>
                <c:pt idx="37">
                  <c:v>2.4482573106979377E-15</c:v>
                </c:pt>
                <c:pt idx="38">
                  <c:v>1.7562629726969491E-14</c:v>
                </c:pt>
                <c:pt idx="39">
                  <c:v>1.2048302785474033E-13</c:v>
                </c:pt>
                <c:pt idx="40">
                  <c:v>7.6691974409907373E-13</c:v>
                </c:pt>
                <c:pt idx="41">
                  <c:v>4.6840624114981162E-12</c:v>
                </c:pt>
                <c:pt idx="42">
                  <c:v>2.6696827418509329E-11</c:v>
                </c:pt>
                <c:pt idx="43">
                  <c:v>1.4299258056033257E-10</c:v>
                </c:pt>
                <c:pt idx="44">
                  <c:v>7.2738498619551153E-10</c:v>
                </c:pt>
                <c:pt idx="45">
                  <c:v>3.4872498173431029E-9</c:v>
                </c:pt>
                <c:pt idx="46">
                  <c:v>1.5756027773160498E-8</c:v>
                </c:pt>
                <c:pt idx="47">
                  <c:v>6.7029157690055148E-8</c:v>
                </c:pt>
                <c:pt idx="48">
                  <c:v>2.7039063639933342E-7</c:v>
                </c:pt>
                <c:pt idx="49">
                  <c:v>1.0259217444413161E-6</c:v>
                </c:pt>
                <c:pt idx="50">
                  <c:v>3.6650468513883607E-6</c:v>
                </c:pt>
                <c:pt idx="51">
                  <c:v>1.2395442147949205E-5</c:v>
                </c:pt>
                <c:pt idx="52">
                  <c:v>3.9486490989366847E-5</c:v>
                </c:pt>
                <c:pt idx="53">
                  <c:v>1.187982704991058E-4</c:v>
                </c:pt>
                <c:pt idx="54">
                  <c:v>3.3660476516132932E-4</c:v>
                </c:pt>
                <c:pt idx="55">
                  <c:v>9.0048593744960137E-4</c:v>
                </c:pt>
                <c:pt idx="56">
                  <c:v>2.2730932208098924E-3</c:v>
                </c:pt>
                <c:pt idx="57">
                  <c:v>5.4152952512423278E-3</c:v>
                </c:pt>
                <c:pt idx="58">
                  <c:v>1.2158366110806009E-2</c:v>
                </c:pt>
                <c:pt idx="59">
                  <c:v>2.5779530996347104E-2</c:v>
                </c:pt>
                <c:pt idx="60">
                  <c:v>5.1609718723916627E-2</c:v>
                </c:pt>
                <c:pt idx="61">
                  <c:v>9.7114935539351077E-2</c:v>
                </c:pt>
                <c:pt idx="62">
                  <c:v>0.17307410802724169</c:v>
                </c:pt>
                <c:pt idx="63">
                  <c:v>0.29049170049917994</c:v>
                </c:pt>
                <c:pt idx="64">
                  <c:v>0.45940693696192619</c:v>
                </c:pt>
                <c:pt idx="65">
                  <c:v>0.68636681327059357</c:v>
                </c:pt>
                <c:pt idx="66">
                  <c:v>0.96748717405871709</c:v>
                </c:pt>
                <c:pt idx="67">
                  <c:v>1.2875028052919384</c:v>
                </c:pt>
                <c:pt idx="68">
                  <c:v>1.6140725074162918</c:v>
                </c:pt>
                <c:pt idx="69">
                  <c:v>1.9097846772164428</c:v>
                </c:pt>
                <c:pt idx="70">
                  <c:v>2.132230347397392</c:v>
                </c:pt>
                <c:pt idx="71">
                  <c:v>2.2457963541841504</c:v>
                </c:pt>
                <c:pt idx="72">
                  <c:v>2.231385476430118</c:v>
                </c:pt>
                <c:pt idx="73">
                  <c:v>2.0914211129156901</c:v>
                </c:pt>
                <c:pt idx="74">
                  <c:v>1.8495725038918647</c:v>
                </c:pt>
                <c:pt idx="75">
                  <c:v>1.5429245000281804</c:v>
                </c:pt>
                <c:pt idx="76">
                  <c:v>1.2142659324781917</c:v>
                </c:pt>
                <c:pt idx="77">
                  <c:v>0.90196624884946586</c:v>
                </c:pt>
                <c:pt idx="78">
                  <c:v>0.63157754369852315</c:v>
                </c:pt>
                <c:pt idx="79">
                  <c:v>0.41760357962973077</c:v>
                </c:pt>
                <c:pt idx="80">
                  <c:v>0.26034630999610037</c:v>
                </c:pt>
                <c:pt idx="81">
                  <c:v>0.15307372826981774</c:v>
                </c:pt>
                <c:pt idx="82">
                  <c:v>8.4943048810529179E-2</c:v>
                </c:pt>
                <c:pt idx="83">
                  <c:v>4.4469885017974942E-2</c:v>
                </c:pt>
                <c:pt idx="84">
                  <c:v>2.1949423242566549E-2</c:v>
                </c:pt>
                <c:pt idx="85">
                  <c:v>1.0213124948842458E-2</c:v>
                </c:pt>
                <c:pt idx="86">
                  <c:v>4.5057981457228766E-3</c:v>
                </c:pt>
                <c:pt idx="87">
                  <c:v>1.8696254849114881E-3</c:v>
                </c:pt>
                <c:pt idx="88">
                  <c:v>7.2999400754151578E-4</c:v>
                </c:pt>
                <c:pt idx="89">
                  <c:v>2.6852606769880484E-4</c:v>
                </c:pt>
                <c:pt idx="90">
                  <c:v>9.3842383817486691E-5</c:v>
                </c:pt>
                <c:pt idx="91">
                  <c:v>3.0814057728103093E-5</c:v>
                </c:pt>
                <c:pt idx="92">
                  <c:v>9.5404111318798529E-6</c:v>
                </c:pt>
                <c:pt idx="93">
                  <c:v>2.7959014884125839E-6</c:v>
                </c:pt>
                <c:pt idx="94">
                  <c:v>7.7016802618958144E-7</c:v>
                </c:pt>
                <c:pt idx="95">
                  <c:v>1.9950748997374568E-7</c:v>
                </c:pt>
                <c:pt idx="96">
                  <c:v>4.9155744722719809E-8</c:v>
                </c:pt>
                <c:pt idx="97">
                  <c:v>1.1365497250126972E-8</c:v>
                </c:pt>
                <c:pt idx="98">
                  <c:v>2.48607208174472E-9</c:v>
                </c:pt>
                <c:pt idx="99">
                  <c:v>5.1184040703280133E-10</c:v>
                </c:pt>
              </c:numCache>
            </c:numRef>
          </c:yVal>
          <c:smooth val="1"/>
        </c:ser>
        <c:ser>
          <c:idx val="4"/>
          <c:order val="4"/>
          <c:tx>
            <c:v>Moda 3</c:v>
          </c:tx>
          <c:spPr>
            <a:ln w="19050"/>
          </c:spPr>
          <c:marker>
            <c:symbol val="none"/>
          </c:marker>
          <c:xVal>
            <c:numRef>
              <c:f>Normal!$A$2:$A$118</c:f>
              <c:numCache>
                <c:formatCode>General</c:formatCode>
                <c:ptCount val="117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  <c:pt idx="100">
                  <c:v>449.66</c:v>
                </c:pt>
                <c:pt idx="101">
                  <c:v>493.62</c:v>
                </c:pt>
                <c:pt idx="102">
                  <c:v>541.88</c:v>
                </c:pt>
                <c:pt idx="103">
                  <c:v>594.85</c:v>
                </c:pt>
                <c:pt idx="104">
                  <c:v>653.01</c:v>
                </c:pt>
                <c:pt idx="105">
                  <c:v>716.85</c:v>
                </c:pt>
                <c:pt idx="106">
                  <c:v>786.93</c:v>
                </c:pt>
                <c:pt idx="107">
                  <c:v>863.87</c:v>
                </c:pt>
                <c:pt idx="108">
                  <c:v>948.32</c:v>
                </c:pt>
                <c:pt idx="109">
                  <c:v>1041</c:v>
                </c:pt>
                <c:pt idx="110">
                  <c:v>1142.8</c:v>
                </c:pt>
                <c:pt idx="111">
                  <c:v>1254.5</c:v>
                </c:pt>
                <c:pt idx="112">
                  <c:v>1377.2</c:v>
                </c:pt>
                <c:pt idx="113">
                  <c:v>1511.8</c:v>
                </c:pt>
                <c:pt idx="114">
                  <c:v>1659.6</c:v>
                </c:pt>
                <c:pt idx="115">
                  <c:v>1821.9</c:v>
                </c:pt>
                <c:pt idx="116">
                  <c:v>2000</c:v>
                </c:pt>
              </c:numCache>
            </c:numRef>
          </c:xVal>
          <c:yVal>
            <c:numRef>
              <c:f>Normal!$G$2:$G$118</c:f>
              <c:numCache>
                <c:formatCode>General</c:formatCode>
                <c:ptCount val="117"/>
                <c:pt idx="0">
                  <c:v>4.406348772236769E-199</c:v>
                </c:pt>
                <c:pt idx="1">
                  <c:v>8.6741432074822072E-194</c:v>
                </c:pt>
                <c:pt idx="2">
                  <c:v>5.1174824565203491E-189</c:v>
                </c:pt>
                <c:pt idx="3">
                  <c:v>1.1741660656450669E-183</c:v>
                </c:pt>
                <c:pt idx="4">
                  <c:v>7.5809227817137113E-179</c:v>
                </c:pt>
                <c:pt idx="5">
                  <c:v>1.1455335708473931E-173</c:v>
                </c:pt>
                <c:pt idx="6">
                  <c:v>5.1002913670456762E-169</c:v>
                </c:pt>
                <c:pt idx="7">
                  <c:v>3.8237989010309231E-164</c:v>
                </c:pt>
                <c:pt idx="8">
                  <c:v>9.3450513258492929E-160</c:v>
                </c:pt>
                <c:pt idx="9">
                  <c:v>1.0667958117832813E-154</c:v>
                </c:pt>
                <c:pt idx="10">
                  <c:v>3.5281721665976538E-150</c:v>
                </c:pt>
                <c:pt idx="11">
                  <c:v>1.1352344785105435E-145</c:v>
                </c:pt>
                <c:pt idx="12">
                  <c:v>1.3082447255092618E-141</c:v>
                </c:pt>
                <c:pt idx="13">
                  <c:v>3.2076347000194559E-137</c:v>
                </c:pt>
                <c:pt idx="14">
                  <c:v>1.2024624715075014E-132</c:v>
                </c:pt>
                <c:pt idx="15">
                  <c:v>1.4887986576544782E-128</c:v>
                </c:pt>
                <c:pt idx="16">
                  <c:v>2.3414853308204285E-124</c:v>
                </c:pt>
                <c:pt idx="17">
                  <c:v>2.3296689863752726E-120</c:v>
                </c:pt>
                <c:pt idx="18">
                  <c:v>2.371085937306001E-116</c:v>
                </c:pt>
                <c:pt idx="19">
                  <c:v>2.1940261425444996E-112</c:v>
                </c:pt>
                <c:pt idx="20">
                  <c:v>1.6941137334096644E-108</c:v>
                </c:pt>
                <c:pt idx="21">
                  <c:v>1.4292868866922207E-104</c:v>
                </c:pt>
                <c:pt idx="22">
                  <c:v>6.3407153320908906E-101</c:v>
                </c:pt>
                <c:pt idx="23">
                  <c:v>3.5349634953550056E-97</c:v>
                </c:pt>
                <c:pt idx="24">
                  <c:v>1.2955267727169589E-93</c:v>
                </c:pt>
                <c:pt idx="25">
                  <c:v>4.8342654215349685E-90</c:v>
                </c:pt>
                <c:pt idx="26">
                  <c:v>1.3601916719236188E-86</c:v>
                </c:pt>
                <c:pt idx="27">
                  <c:v>3.3409620124567856E-83</c:v>
                </c:pt>
                <c:pt idx="28">
                  <c:v>7.8144654222338382E-80</c:v>
                </c:pt>
                <c:pt idx="29">
                  <c:v>1.391472344445038E-76</c:v>
                </c:pt>
                <c:pt idx="30">
                  <c:v>2.081512673585673E-73</c:v>
                </c:pt>
                <c:pt idx="31">
                  <c:v>3.0851729710635002E-70</c:v>
                </c:pt>
                <c:pt idx="32">
                  <c:v>3.3959724267371515E-67</c:v>
                </c:pt>
                <c:pt idx="33">
                  <c:v>3.255496669635389E-64</c:v>
                </c:pt>
                <c:pt idx="34">
                  <c:v>2.7723897472133625E-61</c:v>
                </c:pt>
                <c:pt idx="35">
                  <c:v>2.1088193799318151E-58</c:v>
                </c:pt>
                <c:pt idx="36">
                  <c:v>1.2676749806224532E-55</c:v>
                </c:pt>
                <c:pt idx="37">
                  <c:v>6.5386176451761051E-53</c:v>
                </c:pt>
                <c:pt idx="38">
                  <c:v>2.8949260126881055E-50</c:v>
                </c:pt>
                <c:pt idx="39">
                  <c:v>1.1421629878663474E-47</c:v>
                </c:pt>
                <c:pt idx="40">
                  <c:v>3.6560990628897114E-45</c:v>
                </c:pt>
                <c:pt idx="41">
                  <c:v>1.054139425022441E-42</c:v>
                </c:pt>
                <c:pt idx="42">
                  <c:v>2.509551860828434E-40</c:v>
                </c:pt>
                <c:pt idx="43">
                  <c:v>5.0416276845130491E-38</c:v>
                </c:pt>
                <c:pt idx="44">
                  <c:v>8.837334526932511E-36</c:v>
                </c:pt>
                <c:pt idx="45">
                  <c:v>1.3192753449102397E-33</c:v>
                </c:pt>
                <c:pt idx="46">
                  <c:v>1.676937919277447E-31</c:v>
                </c:pt>
                <c:pt idx="47">
                  <c:v>1.8095399098969326E-29</c:v>
                </c:pt>
                <c:pt idx="48">
                  <c:v>1.6959735976920825E-27</c:v>
                </c:pt>
                <c:pt idx="49">
                  <c:v>1.3447905421548062E-25</c:v>
                </c:pt>
                <c:pt idx="50">
                  <c:v>9.0503001212108976E-24</c:v>
                </c:pt>
                <c:pt idx="51">
                  <c:v>5.2640629388578544E-22</c:v>
                </c:pt>
                <c:pt idx="52">
                  <c:v>2.6018619381338808E-20</c:v>
                </c:pt>
                <c:pt idx="53">
                  <c:v>1.1027761522920654E-18</c:v>
                </c:pt>
                <c:pt idx="54">
                  <c:v>3.969560235116157E-17</c:v>
                </c:pt>
                <c:pt idx="55">
                  <c:v>1.224060648672661E-15</c:v>
                </c:pt>
                <c:pt idx="56">
                  <c:v>3.2268698489675232E-14</c:v>
                </c:pt>
                <c:pt idx="57">
                  <c:v>7.2775629381084241E-13</c:v>
                </c:pt>
                <c:pt idx="58">
                  <c:v>1.3969437546416047E-11</c:v>
                </c:pt>
                <c:pt idx="59">
                  <c:v>2.2995710761961728E-10</c:v>
                </c:pt>
                <c:pt idx="60">
                  <c:v>3.2445914146844613E-9</c:v>
                </c:pt>
                <c:pt idx="61">
                  <c:v>3.8553961472877404E-8</c:v>
                </c:pt>
                <c:pt idx="62">
                  <c:v>3.9746669723254554E-7</c:v>
                </c:pt>
                <c:pt idx="63">
                  <c:v>3.4769632710517827E-6</c:v>
                </c:pt>
                <c:pt idx="64">
                  <c:v>2.5841219287115137E-5</c:v>
                </c:pt>
                <c:pt idx="65">
                  <c:v>1.6504174976819888E-4</c:v>
                </c:pt>
                <c:pt idx="66">
                  <c:v>9.0085802964548001E-4</c:v>
                </c:pt>
                <c:pt idx="67">
                  <c:v>4.2186757117301018E-3</c:v>
                </c:pt>
                <c:pt idx="68">
                  <c:v>1.6742173053118169E-2</c:v>
                </c:pt>
                <c:pt idx="69">
                  <c:v>5.6885100682914642E-2</c:v>
                </c:pt>
                <c:pt idx="70">
                  <c:v>0.16537099517826809</c:v>
                </c:pt>
                <c:pt idx="71">
                  <c:v>0.41083548513601498</c:v>
                </c:pt>
                <c:pt idx="72">
                  <c:v>0.87130135484788784</c:v>
                </c:pt>
                <c:pt idx="73">
                  <c:v>1.5792102201997689</c:v>
                </c:pt>
                <c:pt idx="74">
                  <c:v>2.4431879668941132</c:v>
                </c:pt>
                <c:pt idx="75">
                  <c:v>3.2306194665645473</c:v>
                </c:pt>
                <c:pt idx="76">
                  <c:v>3.6491686595765529</c:v>
                </c:pt>
                <c:pt idx="77">
                  <c:v>3.5218512261807571</c:v>
                </c:pt>
                <c:pt idx="78">
                  <c:v>2.9031056435327827</c:v>
                </c:pt>
                <c:pt idx="79">
                  <c:v>2.0458138004654485</c:v>
                </c:pt>
                <c:pt idx="80">
                  <c:v>1.2311051215823672</c:v>
                </c:pt>
                <c:pt idx="81">
                  <c:v>0.63262837794310522</c:v>
                </c:pt>
                <c:pt idx="82">
                  <c:v>0.27786721670462744</c:v>
                </c:pt>
                <c:pt idx="83">
                  <c:v>0.10427214979558375</c:v>
                </c:pt>
                <c:pt idx="84">
                  <c:v>3.3393341816220251E-2</c:v>
                </c:pt>
                <c:pt idx="85">
                  <c:v>9.1237957438397247E-3</c:v>
                </c:pt>
                <c:pt idx="86">
                  <c:v>2.1486004931884225E-3</c:v>
                </c:pt>
                <c:pt idx="87">
                  <c:v>4.3000976405417168E-4</c:v>
                </c:pt>
                <c:pt idx="88">
                  <c:v>7.3166130844487558E-5</c:v>
                </c:pt>
                <c:pt idx="89">
                  <c:v>1.0605043621477723E-5</c:v>
                </c:pt>
                <c:pt idx="90">
                  <c:v>1.3313384904998322E-6</c:v>
                </c:pt>
                <c:pt idx="91">
                  <c:v>1.4165374180519954E-7</c:v>
                </c:pt>
                <c:pt idx="92">
                  <c:v>1.286169489062342E-8</c:v>
                </c:pt>
                <c:pt idx="93">
                  <c:v>1.0045455912075036E-9</c:v>
                </c:pt>
                <c:pt idx="94">
                  <c:v>6.6519148546643025E-11</c:v>
                </c:pt>
                <c:pt idx="95">
                  <c:v>3.737105061106916E-12</c:v>
                </c:pt>
                <c:pt idx="96">
                  <c:v>1.8252702262928575E-13</c:v>
                </c:pt>
                <c:pt idx="97">
                  <c:v>7.5296780574453655E-15</c:v>
                </c:pt>
                <c:pt idx="98">
                  <c:v>2.6698769640879356E-16</c:v>
                </c:pt>
                <c:pt idx="99">
                  <c:v>8.0465769089093704E-18</c:v>
                </c:pt>
                <c:pt idx="100">
                  <c:v>2.0733523940580251E-19</c:v>
                </c:pt>
                <c:pt idx="101">
                  <c:v>4.570421447489469E-21</c:v>
                </c:pt>
                <c:pt idx="102">
                  <c:v>8.605417787848913E-23</c:v>
                </c:pt>
                <c:pt idx="103">
                  <c:v>1.3850573823790946E-24</c:v>
                </c:pt>
                <c:pt idx="104">
                  <c:v>1.9029020800448322E-26</c:v>
                </c:pt>
                <c:pt idx="105">
                  <c:v>2.2343743283185177E-28</c:v>
                </c:pt>
                <c:pt idx="106">
                  <c:v>2.2415181889424874E-30</c:v>
                </c:pt>
                <c:pt idx="107">
                  <c:v>1.9200520202929757E-32</c:v>
                </c:pt>
                <c:pt idx="108">
                  <c:v>1.406029505225002E-34</c:v>
                </c:pt>
                <c:pt idx="109">
                  <c:v>8.8082154863727119E-37</c:v>
                </c:pt>
                <c:pt idx="110">
                  <c:v>4.6999170180345303E-39</c:v>
                </c:pt>
                <c:pt idx="111">
                  <c:v>2.1477685835456634E-41</c:v>
                </c:pt>
                <c:pt idx="112">
                  <c:v>8.3553258327289531E-44</c:v>
                </c:pt>
                <c:pt idx="113">
                  <c:v>2.7879995742558438E-46</c:v>
                </c:pt>
                <c:pt idx="114">
                  <c:v>7.9346030993515733E-49</c:v>
                </c:pt>
                <c:pt idx="115">
                  <c:v>1.92567920229595E-51</c:v>
                </c:pt>
                <c:pt idx="116">
                  <c:v>4.0018793211644285E-54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846720"/>
        <c:axId val="370864896"/>
      </c:scatterChart>
      <c:valAx>
        <c:axId val="370846720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864896"/>
        <c:crosses val="autoZero"/>
        <c:crossBetween val="midCat"/>
      </c:valAx>
      <c:valAx>
        <c:axId val="37086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84672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Weibull!$B$2:$B$101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4"/>
          <c:order val="1"/>
          <c:tx>
            <c:v>Weibull</c:v>
          </c:tx>
          <c:spPr>
            <a:ln w="31750">
              <a:solidFill>
                <a:srgbClr val="00D028"/>
              </a:solidFill>
            </a:ln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Weibull!$J$2:$J$117</c:f>
              <c:numCache>
                <c:formatCode>General</c:formatCode>
                <c:ptCount val="116"/>
                <c:pt idx="0">
                  <c:v>1.3361366114062497E-2</c:v>
                </c:pt>
                <c:pt idx="1">
                  <c:v>1.4498244530238111E-2</c:v>
                </c:pt>
                <c:pt idx="2">
                  <c:v>1.564696854030383E-2</c:v>
                </c:pt>
                <c:pt idx="3">
                  <c:v>1.7095014313901192E-2</c:v>
                </c:pt>
                <c:pt idx="4">
                  <c:v>1.8552866662748347E-2</c:v>
                </c:pt>
                <c:pt idx="5">
                  <c:v>2.031147013743333E-2</c:v>
                </c:pt>
                <c:pt idx="6">
                  <c:v>2.2077151296876436E-2</c:v>
                </c:pt>
                <c:pt idx="7">
                  <c:v>2.4143264493165447E-2</c:v>
                </c:pt>
                <c:pt idx="8">
                  <c:v>2.6213874697143449E-2</c:v>
                </c:pt>
                <c:pt idx="9">
                  <c:v>2.8880303309448897E-2</c:v>
                </c:pt>
                <c:pt idx="10">
                  <c:v>3.1549550459429844E-2</c:v>
                </c:pt>
                <c:pt idx="11">
                  <c:v>3.4517039361510467E-2</c:v>
                </c:pt>
                <c:pt idx="12">
                  <c:v>3.7485119484155886E-2</c:v>
                </c:pt>
                <c:pt idx="13">
                  <c:v>4.1046524898857378E-2</c:v>
                </c:pt>
                <c:pt idx="14">
                  <c:v>4.5200077078561579E-2</c:v>
                </c:pt>
                <c:pt idx="15">
                  <c:v>4.9351378045153223E-2</c:v>
                </c:pt>
                <c:pt idx="16">
                  <c:v>5.4092438334640079E-2</c:v>
                </c:pt>
                <c:pt idx="17">
                  <c:v>5.9125666056976486E-2</c:v>
                </c:pt>
                <c:pt idx="18">
                  <c:v>6.4745843206271539E-2</c:v>
                </c:pt>
                <c:pt idx="19">
                  <c:v>7.0951281778726186E-2</c:v>
                </c:pt>
                <c:pt idx="20">
                  <c:v>7.7740305338624277E-2</c:v>
                </c:pt>
                <c:pt idx="21">
                  <c:v>8.5405952736397672E-2</c:v>
                </c:pt>
                <c:pt idx="22">
                  <c:v>9.3356998576478403E-2</c:v>
                </c:pt>
                <c:pt idx="23">
                  <c:v>0.10247489025137324</c:v>
                </c:pt>
                <c:pt idx="24">
                  <c:v>0.1121689107829973</c:v>
                </c:pt>
                <c:pt idx="25">
                  <c:v>0.12302418601763628</c:v>
                </c:pt>
                <c:pt idx="26">
                  <c:v>0.13474444497843727</c:v>
                </c:pt>
                <c:pt idx="27">
                  <c:v>0.14761986054681389</c:v>
                </c:pt>
                <c:pt idx="28">
                  <c:v>0.1619390727578148</c:v>
                </c:pt>
                <c:pt idx="29">
                  <c:v>0.17740581272391265</c:v>
                </c:pt>
                <c:pt idx="30">
                  <c:v>0.19430774277553792</c:v>
                </c:pt>
                <c:pt idx="31">
                  <c:v>0.21322137245010228</c:v>
                </c:pt>
                <c:pt idx="32">
                  <c:v>0.23355794390073401</c:v>
                </c:pt>
                <c:pt idx="33">
                  <c:v>0.25589098850834424</c:v>
                </c:pt>
                <c:pt idx="34">
                  <c:v>0.28049975673940941</c:v>
                </c:pt>
                <c:pt idx="35">
                  <c:v>0.30765961784647461</c:v>
                </c:pt>
                <c:pt idx="36">
                  <c:v>0.33706507589261658</c:v>
                </c:pt>
                <c:pt idx="37">
                  <c:v>0.36927191777549123</c:v>
                </c:pt>
                <c:pt idx="38">
                  <c:v>0.40453910413506172</c:v>
                </c:pt>
                <c:pt idx="39">
                  <c:v>0.4434009987765905</c:v>
                </c:pt>
                <c:pt idx="40">
                  <c:v>0.48552240918155298</c:v>
                </c:pt>
                <c:pt idx="41">
                  <c:v>0.53197479955902949</c:v>
                </c:pt>
                <c:pt idx="42">
                  <c:v>0.58238564168500906</c:v>
                </c:pt>
                <c:pt idx="43">
                  <c:v>0.63720493551028146</c:v>
                </c:pt>
                <c:pt idx="44">
                  <c:v>0.69711558937972773</c:v>
                </c:pt>
                <c:pt idx="45">
                  <c:v>0.76218644674819624</c:v>
                </c:pt>
                <c:pt idx="46">
                  <c:v>0.83269529723302083</c:v>
                </c:pt>
                <c:pt idx="47">
                  <c:v>0.90882923724524134</c:v>
                </c:pt>
                <c:pt idx="48">
                  <c:v>0.99118158812956447</c:v>
                </c:pt>
                <c:pt idx="49">
                  <c:v>1.0793969596710351</c:v>
                </c:pt>
                <c:pt idx="50">
                  <c:v>1.1734611480836614</c:v>
                </c:pt>
                <c:pt idx="51">
                  <c:v>1.27359355098816</c:v>
                </c:pt>
                <c:pt idx="52">
                  <c:v>1.3789664964122867</c:v>
                </c:pt>
                <c:pt idx="53">
                  <c:v>1.4890959184947379</c:v>
                </c:pt>
                <c:pt idx="54">
                  <c:v>1.6026120632358405</c:v>
                </c:pt>
                <c:pt idx="55">
                  <c:v>1.7182840734834262</c:v>
                </c:pt>
                <c:pt idx="56">
                  <c:v>1.834101174547248</c:v>
                </c:pt>
                <c:pt idx="57">
                  <c:v>1.9476759854376486</c:v>
                </c:pt>
                <c:pt idx="58">
                  <c:v>2.0560035002466268</c:v>
                </c:pt>
                <c:pt idx="59">
                  <c:v>2.1563158441037467</c:v>
                </c:pt>
                <c:pt idx="60">
                  <c:v>2.2456315714576776</c:v>
                </c:pt>
                <c:pt idx="61">
                  <c:v>2.3211035016303998</c:v>
                </c:pt>
                <c:pt idx="62">
                  <c:v>2.3827456703702219</c:v>
                </c:pt>
                <c:pt idx="63">
                  <c:v>2.4314627717536283</c:v>
                </c:pt>
                <c:pt idx="64">
                  <c:v>2.4724405584379179</c:v>
                </c:pt>
                <c:pt idx="65">
                  <c:v>2.5155708964639487</c:v>
                </c:pt>
                <c:pt idx="66">
                  <c:v>2.5754972453756202</c:v>
                </c:pt>
                <c:pt idx="67">
                  <c:v>2.6718066547699344</c:v>
                </c:pt>
                <c:pt idx="68">
                  <c:v>2.8249515560912171</c:v>
                </c:pt>
                <c:pt idx="69">
                  <c:v>3.0548360278841447</c:v>
                </c:pt>
                <c:pt idx="70">
                  <c:v>3.3727244416986033</c:v>
                </c:pt>
                <c:pt idx="71">
                  <c:v>3.7742906566699443</c:v>
                </c:pt>
                <c:pt idx="72">
                  <c:v>4.233023492512026</c:v>
                </c:pt>
                <c:pt idx="73">
                  <c:v>4.6977343335182402</c:v>
                </c:pt>
                <c:pt idx="74">
                  <c:v>5.0891585061477222</c:v>
                </c:pt>
                <c:pt idx="75">
                  <c:v>5.308401670391925</c:v>
                </c:pt>
                <c:pt idx="76">
                  <c:v>5.2471885785439341</c:v>
                </c:pt>
                <c:pt idx="77">
                  <c:v>4.8207142135646448</c:v>
                </c:pt>
                <c:pt idx="78">
                  <c:v>4.0105720408629715</c:v>
                </c:pt>
                <c:pt idx="79">
                  <c:v>2.9227643114414472</c:v>
                </c:pt>
                <c:pt idx="80">
                  <c:v>1.7804790118685556</c:v>
                </c:pt>
                <c:pt idx="81">
                  <c:v>0.852367051437257</c:v>
                </c:pt>
                <c:pt idx="82">
                  <c:v>0.29549831378843233</c:v>
                </c:pt>
                <c:pt idx="83">
                  <c:v>6.6343919483154282E-2</c:v>
                </c:pt>
                <c:pt idx="84">
                  <c:v>8.2880931495847143E-3</c:v>
                </c:pt>
                <c:pt idx="85">
                  <c:v>4.7042708358470089E-4</c:v>
                </c:pt>
                <c:pt idx="86">
                  <c:v>9.8016223620192911E-6</c:v>
                </c:pt>
                <c:pt idx="87">
                  <c:v>3.2108919354319959E-7</c:v>
                </c:pt>
                <c:pt idx="88">
                  <c:v>2.5062938001808282E-7</c:v>
                </c:pt>
                <c:pt idx="89">
                  <c:v>2.2821025153998143E-7</c:v>
                </c:pt>
                <c:pt idx="90">
                  <c:v>2.0795537911870903E-7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  <c:pt idx="100">
                  <c:v>8.1803289134226516E-8</c:v>
                </c:pt>
                <c:pt idx="101">
                  <c:v>7.4517087804433268E-8</c:v>
                </c:pt>
                <c:pt idx="102">
                  <c:v>6.7879512494512499E-8</c:v>
                </c:pt>
                <c:pt idx="103">
                  <c:v>6.1833980206829144E-8</c:v>
                </c:pt>
                <c:pt idx="104">
                  <c:v>5.632578877312871E-8</c:v>
                </c:pt>
                <c:pt idx="105">
                  <c:v>5.1308685202487827E-8</c:v>
                </c:pt>
                <c:pt idx="106">
                  <c:v>4.6738497745299302E-8</c:v>
                </c:pt>
                <c:pt idx="107">
                  <c:v>4.2574910963790133E-8</c:v>
                </c:pt>
                <c:pt idx="108">
                  <c:v>3.8782708429474044E-8</c:v>
                </c:pt>
                <c:pt idx="109">
                  <c:v>3.5329121312686719E-8</c:v>
                </c:pt>
                <c:pt idx="110">
                  <c:v>3.2181290947335024E-8</c:v>
                </c:pt>
                <c:pt idx="111">
                  <c:v>2.9315194045647966E-8</c:v>
                </c:pt>
                <c:pt idx="112">
                  <c:v>2.6702736851863228E-8</c:v>
                </c:pt>
                <c:pt idx="113">
                  <c:v>2.4324695911430768E-8</c:v>
                </c:pt>
                <c:pt idx="114">
                  <c:v>2.2157814077021244E-8</c:v>
                </c:pt>
                <c:pt idx="115">
                  <c:v>2.0183384389351978E-8</c:v>
                </c:pt>
              </c:numCache>
            </c:numRef>
          </c:yVal>
          <c:smooth val="1"/>
        </c:ser>
        <c:ser>
          <c:idx val="1"/>
          <c:order val="2"/>
          <c:tx>
            <c:v>Normal</c:v>
          </c:tx>
          <c:spPr>
            <a:ln w="31750" cap="flat" cmpd="sng" algn="ctr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Normal!$A$2:$A$117</c:f>
              <c:numCache>
                <c:formatCode>General</c:formatCode>
                <c:ptCount val="116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  <c:pt idx="100">
                  <c:v>449.66</c:v>
                </c:pt>
                <c:pt idx="101">
                  <c:v>493.62</c:v>
                </c:pt>
                <c:pt idx="102">
                  <c:v>541.88</c:v>
                </c:pt>
                <c:pt idx="103">
                  <c:v>594.85</c:v>
                </c:pt>
                <c:pt idx="104">
                  <c:v>653.01</c:v>
                </c:pt>
                <c:pt idx="105">
                  <c:v>716.85</c:v>
                </c:pt>
                <c:pt idx="106">
                  <c:v>786.93</c:v>
                </c:pt>
                <c:pt idx="107">
                  <c:v>863.87</c:v>
                </c:pt>
                <c:pt idx="108">
                  <c:v>948.32</c:v>
                </c:pt>
                <c:pt idx="109">
                  <c:v>1041</c:v>
                </c:pt>
                <c:pt idx="110">
                  <c:v>1142.8</c:v>
                </c:pt>
                <c:pt idx="111">
                  <c:v>1254.5</c:v>
                </c:pt>
                <c:pt idx="112">
                  <c:v>1377.2</c:v>
                </c:pt>
                <c:pt idx="113">
                  <c:v>1511.8</c:v>
                </c:pt>
                <c:pt idx="114">
                  <c:v>1659.6</c:v>
                </c:pt>
                <c:pt idx="115">
                  <c:v>1821.9</c:v>
                </c:pt>
              </c:numCache>
            </c:numRef>
          </c:xVal>
          <c:yVal>
            <c:numRef>
              <c:f>Normal!$K$2:$K$117</c:f>
              <c:numCache>
                <c:formatCode>General</c:formatCode>
                <c:ptCount val="116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8.8451122804042066E-6</c:v>
                </c:pt>
                <c:pt idx="10">
                  <c:v>1.4314290504605203E-5</c:v>
                </c:pt>
                <c:pt idx="11">
                  <c:v>2.3078731871163335E-5</c:v>
                </c:pt>
                <c:pt idx="12">
                  <c:v>3.5413834065662085E-5</c:v>
                </c:pt>
                <c:pt idx="13">
                  <c:v>5.6114802329691744E-5</c:v>
                </c:pt>
                <c:pt idx="14">
                  <c:v>9.0394318358328864E-5</c:v>
                </c:pt>
                <c:pt idx="15">
                  <c:v>1.3813367505176327E-4</c:v>
                </c:pt>
                <c:pt idx="16">
                  <c:v>2.1280124548497326E-4</c:v>
                </c:pt>
                <c:pt idx="17">
                  <c:v>3.2033963799973561E-4</c:v>
                </c:pt>
                <c:pt idx="18">
                  <c:v>4.8139960600538745E-4</c:v>
                </c:pt>
                <c:pt idx="19">
                  <c:v>7.1837703545519203E-4</c:v>
                </c:pt>
                <c:pt idx="20">
                  <c:v>1.0605003786323527E-3</c:v>
                </c:pt>
                <c:pt idx="21">
                  <c:v>1.5668427187542733E-3</c:v>
                </c:pt>
                <c:pt idx="22">
                  <c:v>2.2450964638795292E-3</c:v>
                </c:pt>
                <c:pt idx="23">
                  <c:v>3.2386783648056363E-3</c:v>
                </c:pt>
                <c:pt idx="24">
                  <c:v>4.5755406445733464E-3</c:v>
                </c:pt>
                <c:pt idx="25">
                  <c:v>6.4488131169730878E-3</c:v>
                </c:pt>
                <c:pt idx="26">
                  <c:v>8.9541710105502208E-3</c:v>
                </c:pt>
                <c:pt idx="27">
                  <c:v>1.232354081404289E-2</c:v>
                </c:pt>
                <c:pt idx="28">
                  <c:v>1.6870151260915706E-2</c:v>
                </c:pt>
                <c:pt idx="29">
                  <c:v>2.2763693396431469E-2</c:v>
                </c:pt>
                <c:pt idx="30">
                  <c:v>3.0398968731031546E-2</c:v>
                </c:pt>
                <c:pt idx="31">
                  <c:v>4.0435392413845424E-2</c:v>
                </c:pt>
                <c:pt idx="32">
                  <c:v>5.2973209049479213E-2</c:v>
                </c:pt>
                <c:pt idx="33">
                  <c:v>6.8778296537838568E-2</c:v>
                </c:pt>
                <c:pt idx="34">
                  <c:v>8.8563478585618E-2</c:v>
                </c:pt>
                <c:pt idx="35">
                  <c:v>0.11311570694518276</c:v>
                </c:pt>
                <c:pt idx="36">
                  <c:v>0.1426618901122082</c:v>
                </c:pt>
                <c:pt idx="37">
                  <c:v>0.17821136016959949</c:v>
                </c:pt>
                <c:pt idx="38">
                  <c:v>0.22049960813087321</c:v>
                </c:pt>
                <c:pt idx="39">
                  <c:v>0.27056544811466715</c:v>
                </c:pt>
                <c:pt idx="40">
                  <c:v>0.32820047516967427</c:v>
                </c:pt>
                <c:pt idx="41">
                  <c:v>0.39493566274089476</c:v>
                </c:pt>
                <c:pt idx="42">
                  <c:v>0.47009914288666471</c:v>
                </c:pt>
                <c:pt idx="43">
                  <c:v>0.55393081259221177</c:v>
                </c:pt>
                <c:pt idx="44">
                  <c:v>0.64679726564537787</c:v>
                </c:pt>
                <c:pt idx="45">
                  <c:v>0.74782656397396718</c:v>
                </c:pt>
                <c:pt idx="46">
                  <c:v>0.85616020636315215</c:v>
                </c:pt>
                <c:pt idx="47">
                  <c:v>0.97051344106150561</c:v>
                </c:pt>
                <c:pt idx="48">
                  <c:v>1.0899294632808472</c:v>
                </c:pt>
                <c:pt idx="49">
                  <c:v>1.2118486316777046</c:v>
                </c:pt>
                <c:pt idx="50">
                  <c:v>1.334135312465728</c:v>
                </c:pt>
                <c:pt idx="51">
                  <c:v>1.4548865565554916</c:v>
                </c:pt>
                <c:pt idx="52">
                  <c:v>1.5710006828066312</c:v>
                </c:pt>
                <c:pt idx="53">
                  <c:v>1.6800731582259951</c:v>
                </c:pt>
                <c:pt idx="54">
                  <c:v>1.7792272395591322</c:v>
                </c:pt>
                <c:pt idx="55">
                  <c:v>1.8663554340543997</c:v>
                </c:pt>
                <c:pt idx="56">
                  <c:v>1.9395290034136397</c:v>
                </c:pt>
                <c:pt idx="57">
                  <c:v>1.9977205605767319</c:v>
                </c:pt>
                <c:pt idx="58">
                  <c:v>2.0411271305873093</c:v>
                </c:pt>
                <c:pt idx="59">
                  <c:v>2.072059608434929</c:v>
                </c:pt>
                <c:pt idx="60">
                  <c:v>2.0952660886905985</c:v>
                </c:pt>
                <c:pt idx="61">
                  <c:v>2.1184343310171418</c:v>
                </c:pt>
                <c:pt idx="62">
                  <c:v>2.1527045680555519</c:v>
                </c:pt>
                <c:pt idx="63">
                  <c:v>2.2105583688287482</c:v>
                </c:pt>
                <c:pt idx="64">
                  <c:v>2.3038785849791421</c:v>
                </c:pt>
                <c:pt idx="65">
                  <c:v>2.4409626917096321</c:v>
                </c:pt>
                <c:pt idx="66">
                  <c:v>2.6209704637661804</c:v>
                </c:pt>
                <c:pt idx="67">
                  <c:v>2.832909280671164</c:v>
                </c:pt>
                <c:pt idx="68">
                  <c:v>3.0547225842881796</c:v>
                </c:pt>
                <c:pt idx="69">
                  <c:v>3.2693507031377704</c:v>
                </c:pt>
                <c:pt idx="70">
                  <c:v>3.4776756584952677</c:v>
                </c:pt>
                <c:pt idx="71">
                  <c:v>3.715195668844709</c:v>
                </c:pt>
                <c:pt idx="72">
                  <c:v>4.04310257327794</c:v>
                </c:pt>
                <c:pt idx="73">
                  <c:v>4.4978907607587608</c:v>
                </c:pt>
                <c:pt idx="74">
                  <c:v>5.0135705451247388</c:v>
                </c:pt>
                <c:pt idx="75">
                  <c:v>5.3954168203781396</c:v>
                </c:pt>
                <c:pt idx="76">
                  <c:v>5.3947468330662636</c:v>
                </c:pt>
                <c:pt idx="77">
                  <c:v>4.8734672812620028</c:v>
                </c:pt>
                <c:pt idx="78">
                  <c:v>3.9113710611095525</c:v>
                </c:pt>
                <c:pt idx="79">
                  <c:v>2.7760545221806656</c:v>
                </c:pt>
                <c:pt idx="80">
                  <c:v>1.7483417460731274</c:v>
                </c:pt>
                <c:pt idx="81">
                  <c:v>0.99471275289107952</c:v>
                </c:pt>
                <c:pt idx="82">
                  <c:v>0.53124167724129778</c:v>
                </c:pt>
                <c:pt idx="83">
                  <c:v>0.28315599981066136</c:v>
                </c:pt>
                <c:pt idx="84">
                  <c:v>0.16154570680076838</c:v>
                </c:pt>
                <c:pt idx="85">
                  <c:v>0.10241699370975275</c:v>
                </c:pt>
                <c:pt idx="86">
                  <c:v>7.1115340038211641E-2</c:v>
                </c:pt>
                <c:pt idx="87">
                  <c:v>5.1780406392968936E-2</c:v>
                </c:pt>
                <c:pt idx="88">
                  <c:v>3.8388091721028382E-2</c:v>
                </c:pt>
                <c:pt idx="89">
                  <c:v>2.8540875308490782E-2</c:v>
                </c:pt>
                <c:pt idx="90">
                  <c:v>2.1181696718969713E-2</c:v>
                </c:pt>
                <c:pt idx="91">
                  <c:v>1.5593483120494194E-2</c:v>
                </c:pt>
                <c:pt idx="92">
                  <c:v>1.1382141767073096E-2</c:v>
                </c:pt>
                <c:pt idx="93">
                  <c:v>8.2400074949662838E-3</c:v>
                </c:pt>
                <c:pt idx="94">
                  <c:v>5.9034323093327314E-3</c:v>
                </c:pt>
                <c:pt idx="95">
                  <c:v>4.1855569443732437E-3</c:v>
                </c:pt>
                <c:pt idx="96">
                  <c:v>2.9449925644296202E-3</c:v>
                </c:pt>
                <c:pt idx="97">
                  <c:v>2.0493240925297156E-3</c:v>
                </c:pt>
                <c:pt idx="98">
                  <c:v>1.4131961888636925E-3</c:v>
                </c:pt>
                <c:pt idx="99">
                  <c:v>9.6452762772817095E-4</c:v>
                </c:pt>
                <c:pt idx="100">
                  <c:v>6.5197246573566261E-4</c:v>
                </c:pt>
                <c:pt idx="101">
                  <c:v>4.3648853307432878E-4</c:v>
                </c:pt>
                <c:pt idx="102">
                  <c:v>2.8938191774509678E-4</c:v>
                </c:pt>
                <c:pt idx="103">
                  <c:v>1.9000297665534353E-4</c:v>
                </c:pt>
                <c:pt idx="104">
                  <c:v>1.2353106089696178E-4</c:v>
                </c:pt>
                <c:pt idx="105">
                  <c:v>7.9537714657882468E-5</c:v>
                </c:pt>
                <c:pt idx="106">
                  <c:v>5.0715011265966334E-5</c:v>
                </c:pt>
                <c:pt idx="107">
                  <c:v>3.2021458486948145E-5</c:v>
                </c:pt>
                <c:pt idx="108">
                  <c:v>2.0023389022674308E-5</c:v>
                </c:pt>
                <c:pt idx="109">
                  <c:v>1.2400903613953292E-5</c:v>
                </c:pt>
                <c:pt idx="110">
                  <c:v>7.6034317350440266E-6</c:v>
                </c:pt>
                <c:pt idx="111">
                  <c:v>4.6177451554761243E-6</c:v>
                </c:pt>
                <c:pt idx="112">
                  <c:v>2.7763399310529782E-6</c:v>
                </c:pt>
                <c:pt idx="113">
                  <c:v>1.6536275280247643E-6</c:v>
                </c:pt>
                <c:pt idx="114">
                  <c:v>9.7521692141542865E-7</c:v>
                </c:pt>
                <c:pt idx="115">
                  <c:v>5.6945315714984693E-7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07328"/>
        <c:axId val="196510464"/>
      </c:scatterChart>
      <c:valAx>
        <c:axId val="190307328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510464"/>
        <c:crossesAt val="0"/>
        <c:crossBetween val="midCat"/>
      </c:valAx>
      <c:valAx>
        <c:axId val="196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307328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Weibull!$B$2:$B$101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4"/>
          <c:order val="1"/>
          <c:tx>
            <c:v>Weibull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Weibull!$L$2:$L$118</c:f>
              <c:numCache>
                <c:formatCode>General</c:formatCode>
                <c:ptCount val="117"/>
                <c:pt idx="0">
                  <c:v>1.3448819128122718E-2</c:v>
                </c:pt>
                <c:pt idx="1">
                  <c:v>1.4602764076521932E-2</c:v>
                </c:pt>
                <c:pt idx="2">
                  <c:v>1.5769961126177814E-2</c:v>
                </c:pt>
                <c:pt idx="3">
                  <c:v>1.7243052185905369E-2</c:v>
                </c:pt>
                <c:pt idx="4">
                  <c:v>1.8728095151262052E-2</c:v>
                </c:pt>
                <c:pt idx="5">
                  <c:v>2.0522124241325254E-2</c:v>
                </c:pt>
                <c:pt idx="6">
                  <c:v>2.2326245720180528E-2</c:v>
                </c:pt>
                <c:pt idx="7">
                  <c:v>2.4440969895844135E-2</c:v>
                </c:pt>
                <c:pt idx="8">
                  <c:v>2.6564197257594777E-2</c:v>
                </c:pt>
                <c:pt idx="9">
                  <c:v>2.9304091229707639E-2</c:v>
                </c:pt>
                <c:pt idx="10">
                  <c:v>3.2053266255797373E-2</c:v>
                </c:pt>
                <c:pt idx="11">
                  <c:v>3.5117049991293697E-2</c:v>
                </c:pt>
                <c:pt idx="12">
                  <c:v>3.8189213343705612E-2</c:v>
                </c:pt>
                <c:pt idx="13">
                  <c:v>4.1885678844888641E-2</c:v>
                </c:pt>
                <c:pt idx="14">
                  <c:v>4.6210641700053609E-2</c:v>
                </c:pt>
                <c:pt idx="15">
                  <c:v>5.0548077243410573E-2</c:v>
                </c:pt>
                <c:pt idx="16">
                  <c:v>5.551967246197681E-2</c:v>
                </c:pt>
                <c:pt idx="17">
                  <c:v>6.0818411995301948E-2</c:v>
                </c:pt>
                <c:pt idx="18">
                  <c:v>6.6760115904085815E-2</c:v>
                </c:pt>
                <c:pt idx="19">
                  <c:v>7.335099213152188E-2</c:v>
                </c:pt>
                <c:pt idx="20">
                  <c:v>8.0597948086330001E-2</c:v>
                </c:pt>
                <c:pt idx="21">
                  <c:v>8.8825760880408278E-2</c:v>
                </c:pt>
                <c:pt idx="22">
                  <c:v>9.7409978482617524E-2</c:v>
                </c:pt>
                <c:pt idx="23">
                  <c:v>0.10731614225614093</c:v>
                </c:pt>
                <c:pt idx="24">
                  <c:v>0.11792043019973203</c:v>
                </c:pt>
                <c:pt idx="25">
                  <c:v>0.12988248936731739</c:v>
                </c:pt>
                <c:pt idx="26">
                  <c:v>0.14290052146215762</c:v>
                </c:pt>
                <c:pt idx="27">
                  <c:v>0.15732351592564134</c:v>
                </c:pt>
                <c:pt idx="28">
                  <c:v>0.17351235863206793</c:v>
                </c:pt>
                <c:pt idx="29">
                  <c:v>0.19117266213350145</c:v>
                </c:pt>
                <c:pt idx="30">
                  <c:v>0.21067661095632323</c:v>
                </c:pt>
                <c:pt idx="31">
                  <c:v>0.23275345865123165</c:v>
                </c:pt>
                <c:pt idx="32">
                  <c:v>0.2567850849094428</c:v>
                </c:pt>
                <c:pt idx="33">
                  <c:v>0.28352392033525919</c:v>
                </c:pt>
                <c:pt idx="34">
                  <c:v>0.31340607317723856</c:v>
                </c:pt>
                <c:pt idx="35">
                  <c:v>0.34689198227473678</c:v>
                </c:pt>
                <c:pt idx="36">
                  <c:v>0.3837413932375161</c:v>
                </c:pt>
                <c:pt idx="37">
                  <c:v>0.42480728684343405</c:v>
                </c:pt>
                <c:pt idx="38">
                  <c:v>0.47061842799863551</c:v>
                </c:pt>
                <c:pt idx="39">
                  <c:v>0.52211695079152287</c:v>
                </c:pt>
                <c:pt idx="40">
                  <c:v>0.57913909372332961</c:v>
                </c:pt>
                <c:pt idx="41">
                  <c:v>0.64347848876430058</c:v>
                </c:pt>
                <c:pt idx="42">
                  <c:v>0.71503256394065962</c:v>
                </c:pt>
                <c:pt idx="43">
                  <c:v>0.79490354701406662</c:v>
                </c:pt>
                <c:pt idx="44">
                  <c:v>0.88467086018772301</c:v>
                </c:pt>
                <c:pt idx="45">
                  <c:v>0.98514297791530492</c:v>
                </c:pt>
                <c:pt idx="46">
                  <c:v>1.0975707563083947</c:v>
                </c:pt>
                <c:pt idx="47">
                  <c:v>1.223222876467061</c:v>
                </c:pt>
                <c:pt idx="48">
                  <c:v>1.3642590362066236</c:v>
                </c:pt>
                <c:pt idx="49">
                  <c:v>1.5214526082866142</c:v>
                </c:pt>
                <c:pt idx="50">
                  <c:v>1.696338024503707</c:v>
                </c:pt>
                <c:pt idx="51">
                  <c:v>1.8911658250446644</c:v>
                </c:pt>
                <c:pt idx="52">
                  <c:v>2.106392207062262</c:v>
                </c:pt>
                <c:pt idx="53">
                  <c:v>2.3432379556743546</c:v>
                </c:pt>
                <c:pt idx="54">
                  <c:v>2.6009851063285736</c:v>
                </c:pt>
                <c:pt idx="55">
                  <c:v>2.8788388919830057</c:v>
                </c:pt>
                <c:pt idx="56">
                  <c:v>3.173348481343691</c:v>
                </c:pt>
                <c:pt idx="57">
                  <c:v>3.4784478337582128</c:v>
                </c:pt>
                <c:pt idx="58">
                  <c:v>3.7835914666244874</c:v>
                </c:pt>
                <c:pt idx="59">
                  <c:v>4.0745795588599325</c:v>
                </c:pt>
                <c:pt idx="60">
                  <c:v>4.3305542634051193</c:v>
                </c:pt>
                <c:pt idx="61">
                  <c:v>4.5237432772600572</c:v>
                </c:pt>
                <c:pt idx="62">
                  <c:v>4.6266023266074612</c:v>
                </c:pt>
                <c:pt idx="63">
                  <c:v>4.6101433662898366</c:v>
                </c:pt>
                <c:pt idx="64">
                  <c:v>4.4601734144775076</c:v>
                </c:pt>
                <c:pt idx="65">
                  <c:v>4.1864239444230034</c:v>
                </c:pt>
                <c:pt idx="66">
                  <c:v>3.8375174383706474</c:v>
                </c:pt>
                <c:pt idx="67">
                  <c:v>3.499457561844789</c:v>
                </c:pt>
                <c:pt idx="68">
                  <c:v>3.2782925168878942</c:v>
                </c:pt>
                <c:pt idx="69">
                  <c:v>3.2503816127874998</c:v>
                </c:pt>
                <c:pt idx="70">
                  <c:v>3.4344036859831428</c:v>
                </c:pt>
                <c:pt idx="71">
                  <c:v>3.7872167720110572</c:v>
                </c:pt>
                <c:pt idx="72">
                  <c:v>4.2346146171312489</c:v>
                </c:pt>
                <c:pt idx="73">
                  <c:v>4.6978316738596586</c:v>
                </c:pt>
                <c:pt idx="74">
                  <c:v>5.0891609144053795</c:v>
                </c:pt>
                <c:pt idx="75">
                  <c:v>5.308401688446641</c:v>
                </c:pt>
                <c:pt idx="76">
                  <c:v>5.2471885785725023</c:v>
                </c:pt>
                <c:pt idx="77">
                  <c:v>4.820714213564651</c:v>
                </c:pt>
                <c:pt idx="78">
                  <c:v>4.0105720408629715</c:v>
                </c:pt>
                <c:pt idx="79">
                  <c:v>2.9227643114414472</c:v>
                </c:pt>
                <c:pt idx="80">
                  <c:v>1.7804790118685556</c:v>
                </c:pt>
                <c:pt idx="81">
                  <c:v>0.852367051437257</c:v>
                </c:pt>
                <c:pt idx="82">
                  <c:v>0.29549831378843233</c:v>
                </c:pt>
                <c:pt idx="83">
                  <c:v>6.6343919483154282E-2</c:v>
                </c:pt>
                <c:pt idx="84">
                  <c:v>8.2880931495847143E-3</c:v>
                </c:pt>
                <c:pt idx="85">
                  <c:v>4.7042708358470089E-4</c:v>
                </c:pt>
                <c:pt idx="86">
                  <c:v>9.8016223620192911E-6</c:v>
                </c:pt>
                <c:pt idx="87">
                  <c:v>3.2108919354319959E-7</c:v>
                </c:pt>
                <c:pt idx="88">
                  <c:v>2.5062938001808282E-7</c:v>
                </c:pt>
                <c:pt idx="89">
                  <c:v>2.2821025153998143E-7</c:v>
                </c:pt>
                <c:pt idx="90">
                  <c:v>2.0795537911870903E-7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  <c:pt idx="100">
                  <c:v>8.1803289134226516E-8</c:v>
                </c:pt>
                <c:pt idx="101">
                  <c:v>7.4517087804433268E-8</c:v>
                </c:pt>
                <c:pt idx="102">
                  <c:v>6.7879512494512499E-8</c:v>
                </c:pt>
                <c:pt idx="103">
                  <c:v>6.1833980206829144E-8</c:v>
                </c:pt>
                <c:pt idx="104">
                  <c:v>5.632578877312871E-8</c:v>
                </c:pt>
                <c:pt idx="105">
                  <c:v>5.1308685202487827E-8</c:v>
                </c:pt>
                <c:pt idx="106">
                  <c:v>4.6738497745299302E-8</c:v>
                </c:pt>
                <c:pt idx="107">
                  <c:v>4.2574910963790133E-8</c:v>
                </c:pt>
                <c:pt idx="108">
                  <c:v>3.8782708429474044E-8</c:v>
                </c:pt>
                <c:pt idx="109">
                  <c:v>3.5329121312686719E-8</c:v>
                </c:pt>
                <c:pt idx="110">
                  <c:v>3.2181290947335024E-8</c:v>
                </c:pt>
                <c:pt idx="111">
                  <c:v>2.9315194045647966E-8</c:v>
                </c:pt>
                <c:pt idx="112">
                  <c:v>2.6702736851863228E-8</c:v>
                </c:pt>
                <c:pt idx="113">
                  <c:v>2.4324695911430768E-8</c:v>
                </c:pt>
                <c:pt idx="114">
                  <c:v>2.2157814077021244E-8</c:v>
                </c:pt>
                <c:pt idx="115">
                  <c:v>2.0183384389351978E-8</c:v>
                </c:pt>
                <c:pt idx="116">
                  <c:v>1.8385537634304756E-8</c:v>
                </c:pt>
              </c:numCache>
            </c:numRef>
          </c:yVal>
          <c:smooth val="1"/>
        </c:ser>
        <c:ser>
          <c:idx val="2"/>
          <c:order val="2"/>
          <c:tx>
            <c:v>Moda 1</c:v>
          </c:tx>
          <c:spPr>
            <a:ln w="19050"/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Weibull!$C$2:$C$101</c:f>
              <c:numCache>
                <c:formatCode>General</c:formatCode>
                <c:ptCount val="100"/>
                <c:pt idx="0">
                  <c:v>1.2441916245172612E-2</c:v>
                </c:pt>
                <c:pt idx="1">
                  <c:v>1.3661526354126416E-2</c:v>
                </c:pt>
                <c:pt idx="2">
                  <c:v>1.4879039559692117E-2</c:v>
                </c:pt>
                <c:pt idx="3">
                  <c:v>1.639824955093E-2</c:v>
                </c:pt>
                <c:pt idx="4">
                  <c:v>1.7914745025568724E-2</c:v>
                </c:pt>
                <c:pt idx="5">
                  <c:v>1.9731286915105742E-2</c:v>
                </c:pt>
                <c:pt idx="6">
                  <c:v>2.154459682448516E-2</c:v>
                </c:pt>
                <c:pt idx="7">
                  <c:v>2.3656409892891458E-2</c:v>
                </c:pt>
                <c:pt idx="8">
                  <c:v>2.576456928382018E-2</c:v>
                </c:pt>
                <c:pt idx="9">
                  <c:v>2.8470176264657216E-2</c:v>
                </c:pt>
                <c:pt idx="10">
                  <c:v>3.1170778556614844E-2</c:v>
                </c:pt>
                <c:pt idx="11">
                  <c:v>3.4166108875707729E-2</c:v>
                </c:pt>
                <c:pt idx="12">
                  <c:v>3.7156297479048583E-2</c:v>
                </c:pt>
                <c:pt idx="13">
                  <c:v>4.0738314019179767E-2</c:v>
                </c:pt>
                <c:pt idx="14">
                  <c:v>4.49095101301977E-2</c:v>
                </c:pt>
                <c:pt idx="15">
                  <c:v>4.9073011233935107E-2</c:v>
                </c:pt>
                <c:pt idx="16">
                  <c:v>5.3822683329392038E-2</c:v>
                </c:pt>
                <c:pt idx="17">
                  <c:v>5.8859969538673319E-2</c:v>
                </c:pt>
                <c:pt idx="18">
                  <c:v>6.4479530566899909E-2</c:v>
                </c:pt>
                <c:pt idx="19">
                  <c:v>7.0678931932374428E-2</c:v>
                </c:pt>
                <c:pt idx="20">
                  <c:v>7.7455771292463893E-2</c:v>
                </c:pt>
                <c:pt idx="21">
                  <c:v>8.5101462385480039E-2</c:v>
                </c:pt>
                <c:pt idx="22">
                  <c:v>9.3025521332567446E-2</c:v>
                </c:pt>
                <c:pt idx="23">
                  <c:v>0.10210518847213977</c:v>
                </c:pt>
                <c:pt idx="24">
                  <c:v>0.11175054124928109</c:v>
                </c:pt>
                <c:pt idx="25">
                  <c:v>0.12254193051636163</c:v>
                </c:pt>
                <c:pt idx="26">
                  <c:v>0.13418241733615571</c:v>
                </c:pt>
                <c:pt idx="27">
                  <c:v>0.14695753313766138</c:v>
                </c:pt>
                <c:pt idx="28">
                  <c:v>0.16114979395793569</c:v>
                </c:pt>
                <c:pt idx="29">
                  <c:v>0.17646125251532641</c:v>
                </c:pt>
                <c:pt idx="30">
                  <c:v>0.19317188912184491</c:v>
                </c:pt>
                <c:pt idx="31">
                  <c:v>0.21184453567126141</c:v>
                </c:pt>
                <c:pt idx="32">
                  <c:v>0.23188995229797305</c:v>
                </c:pt>
                <c:pt idx="33">
                  <c:v>0.25386451004482102</c:v>
                </c:pt>
                <c:pt idx="34">
                  <c:v>0.27803056748067212</c:v>
                </c:pt>
                <c:pt idx="35">
                  <c:v>0.30464275122792095</c:v>
                </c:pt>
                <c:pt idx="36">
                  <c:v>0.33338399897738291</c:v>
                </c:pt>
                <c:pt idx="37">
                  <c:v>0.36477652435616426</c:v>
                </c:pt>
                <c:pt idx="38">
                  <c:v>0.39904544880677323</c:v>
                </c:pt>
                <c:pt idx="39">
                  <c:v>0.43667499322713005</c:v>
                </c:pt>
                <c:pt idx="40">
                  <c:v>0.47729955281130604</c:v>
                </c:pt>
                <c:pt idx="41">
                  <c:v>0.52190071623331724</c:v>
                </c:pt>
                <c:pt idx="42">
                  <c:v>0.57005635541506805</c:v>
                </c:pt>
                <c:pt idx="43">
                  <c:v>0.62212093099704291</c:v>
                </c:pt>
                <c:pt idx="44">
                  <c:v>0.67864484201239783</c:v>
                </c:pt>
                <c:pt idx="45">
                  <c:v>0.73956961863238435</c:v>
                </c:pt>
                <c:pt idx="46">
                  <c:v>0.80500418561470966</c:v>
                </c:pt>
                <c:pt idx="47">
                  <c:v>0.87493386726773226</c:v>
                </c:pt>
                <c:pt idx="48">
                  <c:v>0.94966091446355594</c:v>
                </c:pt>
                <c:pt idx="49">
                  <c:v>1.0285571722400733</c:v>
                </c:pt>
                <c:pt idx="50">
                  <c:v>1.111231145384157</c:v>
                </c:pt>
                <c:pt idx="51">
                  <c:v>1.1973801578642562</c:v>
                </c:pt>
                <c:pt idx="52">
                  <c:v>1.2856554741498796</c:v>
                </c:pt>
                <c:pt idx="53">
                  <c:v>1.3748344956694851</c:v>
                </c:pt>
                <c:pt idx="54">
                  <c:v>1.4627526177001746</c:v>
                </c:pt>
                <c:pt idx="55">
                  <c:v>1.5470841656237126</c:v>
                </c:pt>
                <c:pt idx="56">
                  <c:v>1.6245590214201058</c:v>
                </c:pt>
                <c:pt idx="57">
                  <c:v>1.6912296812045093</c:v>
                </c:pt>
                <c:pt idx="58">
                  <c:v>1.7423147816282565</c:v>
                </c:pt>
                <c:pt idx="59">
                  <c:v>1.7726407475962254</c:v>
                </c:pt>
                <c:pt idx="60">
                  <c:v>1.7764514396876334</c:v>
                </c:pt>
                <c:pt idx="61">
                  <c:v>1.748384470440894</c:v>
                </c:pt>
                <c:pt idx="62">
                  <c:v>1.6833554911722193</c:v>
                </c:pt>
                <c:pt idx="63">
                  <c:v>1.5788625841897936</c:v>
                </c:pt>
                <c:pt idx="64">
                  <c:v>1.435279473530167</c:v>
                </c:pt>
                <c:pt idx="65">
                  <c:v>1.2558596169550003</c:v>
                </c:pt>
                <c:pt idx="66">
                  <c:v>1.0497504041087917</c:v>
                </c:pt>
                <c:pt idx="67">
                  <c:v>0.829874832359909</c:v>
                </c:pt>
                <c:pt idx="68">
                  <c:v>0.61492363623922752</c:v>
                </c:pt>
                <c:pt idx="69">
                  <c:v>0.420729932555997</c:v>
                </c:pt>
                <c:pt idx="70">
                  <c:v>0.26147468001752056</c:v>
                </c:pt>
                <c:pt idx="71">
                  <c:v>0.14477753575387628</c:v>
                </c:pt>
                <c:pt idx="72">
                  <c:v>6.9821946499936047E-2</c:v>
                </c:pt>
                <c:pt idx="73">
                  <c:v>2.848407603281641E-2</c:v>
                </c:pt>
                <c:pt idx="74">
                  <c:v>9.5253657683180074E-3</c:v>
                </c:pt>
                <c:pt idx="75">
                  <c:v>2.5002001652670329E-3</c:v>
                </c:pt>
                <c:pt idx="76">
                  <c:v>4.9105374230991783E-4</c:v>
                </c:pt>
                <c:pt idx="77">
                  <c:v>6.8260226173787612E-5</c:v>
                </c:pt>
                <c:pt idx="78">
                  <c:v>6.204465793946148E-6</c:v>
                </c:pt>
                <c:pt idx="79">
                  <c:v>3.4261864346684177E-7</c:v>
                </c:pt>
                <c:pt idx="80">
                  <c:v>1.0268682336180311E-8</c:v>
                </c:pt>
                <c:pt idx="81">
                  <c:v>1.4786071860636339E-10</c:v>
                </c:pt>
                <c:pt idx="82">
                  <c:v>8.8712456570067993E-13</c:v>
                </c:pt>
                <c:pt idx="83">
                  <c:v>1.8501853645361149E-15</c:v>
                </c:pt>
                <c:pt idx="84">
                  <c:v>1.0744337478824529E-18</c:v>
                </c:pt>
                <c:pt idx="85">
                  <c:v>1.3372841439941844E-22</c:v>
                </c:pt>
                <c:pt idx="86">
                  <c:v>2.8229337500397392E-27</c:v>
                </c:pt>
                <c:pt idx="87">
                  <c:v>6.2877268673162908E-33</c:v>
                </c:pt>
                <c:pt idx="88">
                  <c:v>9.3628379499219622E-40</c:v>
                </c:pt>
                <c:pt idx="89">
                  <c:v>5.4635397081123672E-48</c:v>
                </c:pt>
                <c:pt idx="90">
                  <c:v>7.8007880997568312E-58</c:v>
                </c:pt>
                <c:pt idx="91">
                  <c:v>9.9403743100625681E-70</c:v>
                </c:pt>
                <c:pt idx="92">
                  <c:v>4.7108244050242154E-84</c:v>
                </c:pt>
                <c:pt idx="93">
                  <c:v>3.0336179421444015E-101</c:v>
                </c:pt>
                <c:pt idx="94">
                  <c:v>5.4209149449406159E-122</c:v>
                </c:pt>
                <c:pt idx="95">
                  <c:v>5.0258992663246905E-147</c:v>
                </c:pt>
                <c:pt idx="96">
                  <c:v>5.7185799231940291E-177</c:v>
                </c:pt>
                <c:pt idx="97">
                  <c:v>3.9547996430433114E-213</c:v>
                </c:pt>
                <c:pt idx="98">
                  <c:v>1.4816995751351863E-256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Moda 2</c:v>
          </c:tx>
          <c:spPr>
            <a:ln w="19050"/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Weibull!$E$2:$E$101</c:f>
              <c:numCache>
                <c:formatCode>General</c:formatCode>
                <c:ptCount val="100"/>
                <c:pt idx="0">
                  <c:v>9.1697192449751721E-4</c:v>
                </c:pt>
                <c:pt idx="1">
                  <c:v>8.3367015551794586E-4</c:v>
                </c:pt>
                <c:pt idx="2">
                  <c:v>7.6424672261460748E-4</c:v>
                </c:pt>
                <c:pt idx="3">
                  <c:v>6.9219800796109271E-4</c:v>
                </c:pt>
                <c:pt idx="4">
                  <c:v>6.3256686315646545E-4</c:v>
                </c:pt>
                <c:pt idx="5">
                  <c:v>5.7330389729063594E-4</c:v>
                </c:pt>
                <c:pt idx="6">
                  <c:v>5.241965946008346E-4</c:v>
                </c:pt>
                <c:pt idx="7">
                  <c:v>4.7657390806092522E-4</c:v>
                </c:pt>
                <c:pt idx="8">
                  <c:v>4.3688549687533626E-4</c:v>
                </c:pt>
                <c:pt idx="9">
                  <c:v>3.9463346001500843E-4</c:v>
                </c:pt>
                <c:pt idx="10">
                  <c:v>3.5983507241035427E-4</c:v>
                </c:pt>
                <c:pt idx="11">
                  <c:v>3.2772715727841738E-4</c:v>
                </c:pt>
                <c:pt idx="12">
                  <c:v>3.0088103224297562E-4</c:v>
                </c:pt>
                <c:pt idx="13">
                  <c:v>2.7395298372524183E-4</c:v>
                </c:pt>
                <c:pt idx="14">
                  <c:v>2.480541345514944E-4</c:v>
                </c:pt>
                <c:pt idx="15">
                  <c:v>2.2663015740195748E-4</c:v>
                </c:pt>
                <c:pt idx="16">
                  <c:v>2.0627087936593954E-4</c:v>
                </c:pt>
                <c:pt idx="17">
                  <c:v>1.8829872461325402E-4</c:v>
                </c:pt>
                <c:pt idx="18">
                  <c:v>1.7159016781568626E-4</c:v>
                </c:pt>
                <c:pt idx="19">
                  <c:v>1.5626521020465091E-4</c:v>
                </c:pt>
                <c:pt idx="20">
                  <c:v>1.4234231671353916E-4</c:v>
                </c:pt>
                <c:pt idx="21">
                  <c:v>1.293180846599717E-4</c:v>
                </c:pt>
                <c:pt idx="22">
                  <c:v>1.1809715711124493E-4</c:v>
                </c:pt>
                <c:pt idx="23">
                  <c:v>1.0739810550834156E-4</c:v>
                </c:pt>
                <c:pt idx="24">
                  <c:v>9.7951998242043427E-5</c:v>
                </c:pt>
                <c:pt idx="25">
                  <c:v>8.9159844662419386E-5</c:v>
                </c:pt>
                <c:pt idx="26">
                  <c:v>8.1273571411470907E-5</c:v>
                </c:pt>
                <c:pt idx="27">
                  <c:v>7.4067393547989736E-5</c:v>
                </c:pt>
                <c:pt idx="28">
                  <c:v>6.7411366267016467E-5</c:v>
                </c:pt>
                <c:pt idx="29">
                  <c:v>6.1439641284526464E-5</c:v>
                </c:pt>
                <c:pt idx="30">
                  <c:v>5.6010033767990263E-5</c:v>
                </c:pt>
                <c:pt idx="31">
                  <c:v>5.0962916195837951E-5</c:v>
                </c:pt>
                <c:pt idx="32">
                  <c:v>4.6454968880096987E-5</c:v>
                </c:pt>
                <c:pt idx="33">
                  <c:v>4.2335797447965226E-5</c:v>
                </c:pt>
                <c:pt idx="34">
                  <c:v>3.8561429823035514E-5</c:v>
                </c:pt>
                <c:pt idx="35">
                  <c:v>3.5100852956838365E-5</c:v>
                </c:pt>
                <c:pt idx="36">
                  <c:v>3.1986157327968722E-5</c:v>
                </c:pt>
                <c:pt idx="37">
                  <c:v>2.9146365549088753E-5</c:v>
                </c:pt>
                <c:pt idx="38">
                  <c:v>2.6557087917007652E-5</c:v>
                </c:pt>
                <c:pt idx="39">
                  <c:v>2.41818630544442E-5</c:v>
                </c:pt>
                <c:pt idx="40">
                  <c:v>2.2037057006645819E-5</c:v>
                </c:pt>
                <c:pt idx="41">
                  <c:v>2.0065050421783761E-5</c:v>
                </c:pt>
                <c:pt idx="42">
                  <c:v>1.8279709000641202E-5</c:v>
                </c:pt>
                <c:pt idx="43">
                  <c:v>1.6656902359851514E-5</c:v>
                </c:pt>
                <c:pt idx="44">
                  <c:v>1.5172532643898378E-5</c:v>
                </c:pt>
                <c:pt idx="45">
                  <c:v>1.3821157200787723E-5</c:v>
                </c:pt>
                <c:pt idx="46">
                  <c:v>1.2590917150987843E-5</c:v>
                </c:pt>
                <c:pt idx="47">
                  <c:v>1.1471652286926823E-5</c:v>
                </c:pt>
                <c:pt idx="48">
                  <c:v>1.0448362133830905E-5</c:v>
                </c:pt>
                <c:pt idx="49">
                  <c:v>9.5182225660438531E-6</c:v>
                </c:pt>
                <c:pt idx="50">
                  <c:v>8.6721624006127018E-6</c:v>
                </c:pt>
                <c:pt idx="51">
                  <c:v>7.8992514249666144E-6</c:v>
                </c:pt>
                <c:pt idx="52">
                  <c:v>7.1960919411658193E-6</c:v>
                </c:pt>
                <c:pt idx="53">
                  <c:v>6.5549044933083588E-6</c:v>
                </c:pt>
                <c:pt idx="54">
                  <c:v>5.9717385471191497E-6</c:v>
                </c:pt>
                <c:pt idx="55">
                  <c:v>5.4400720956689061E-6</c:v>
                </c:pt>
                <c:pt idx="56">
                  <c:v>4.9556364133865853E-6</c:v>
                </c:pt>
                <c:pt idx="57">
                  <c:v>4.5141325049904592E-6</c:v>
                </c:pt>
                <c:pt idx="58">
                  <c:v>4.1124303906305162E-6</c:v>
                </c:pt>
                <c:pt idx="59">
                  <c:v>3.746003494571596E-6</c:v>
                </c:pt>
                <c:pt idx="60">
                  <c:v>3.4117838006234063E-6</c:v>
                </c:pt>
                <c:pt idx="61">
                  <c:v>3.1090245932806114E-6</c:v>
                </c:pt>
                <c:pt idx="62">
                  <c:v>2.8314446340251234E-6</c:v>
                </c:pt>
                <c:pt idx="63">
                  <c:v>2.5793223900683667E-6</c:v>
                </c:pt>
                <c:pt idx="64">
                  <c:v>2.3502732017905188E-6</c:v>
                </c:pt>
                <c:pt idx="65">
                  <c:v>2.14100025444758E-6</c:v>
                </c:pt>
                <c:pt idx="66">
                  <c:v>1.9503161097909747E-6</c:v>
                </c:pt>
                <c:pt idx="67">
                  <c:v>1.776123098688092E-6</c:v>
                </c:pt>
                <c:pt idx="68">
                  <c:v>1.6183027944962031E-6</c:v>
                </c:pt>
                <c:pt idx="69">
                  <c:v>1.4743288524631526E-6</c:v>
                </c:pt>
                <c:pt idx="70">
                  <c:v>1.3430068001975385E-6</c:v>
                </c:pt>
                <c:pt idx="71">
                  <c:v>1.2233247832460284E-6</c:v>
                </c:pt>
                <c:pt idx="72">
                  <c:v>1.1143824375622251E-6</c:v>
                </c:pt>
                <c:pt idx="73">
                  <c:v>1.0150695610910781E-6</c:v>
                </c:pt>
                <c:pt idx="74">
                  <c:v>9.2474724191319222E-7</c:v>
                </c:pt>
                <c:pt idx="75">
                  <c:v>8.4238008460716046E-7</c:v>
                </c:pt>
                <c:pt idx="76">
                  <c:v>7.6735501720542639E-7</c:v>
                </c:pt>
                <c:pt idx="77">
                  <c:v>6.9911114867728532E-7</c:v>
                </c:pt>
                <c:pt idx="78">
                  <c:v>6.367911803261338E-7</c:v>
                </c:pt>
                <c:pt idx="79">
                  <c:v>5.8015442474630593E-7</c:v>
                </c:pt>
                <c:pt idx="80">
                  <c:v>5.2848335077912987E-7</c:v>
                </c:pt>
                <c:pt idx="81">
                  <c:v>4.8139005711037262E-7</c:v>
                </c:pt>
                <c:pt idx="82">
                  <c:v>4.3852542937511377E-7</c:v>
                </c:pt>
                <c:pt idx="83">
                  <c:v>3.9947808045292069E-7</c:v>
                </c:pt>
                <c:pt idx="84">
                  <c:v>3.6387678143821585E-7</c:v>
                </c:pt>
                <c:pt idx="85">
                  <c:v>3.31422672800633E-7</c:v>
                </c:pt>
                <c:pt idx="86">
                  <c:v>3.0203496769268849E-7</c:v>
                </c:pt>
                <c:pt idx="87">
                  <c:v>2.7515160245351829E-7</c:v>
                </c:pt>
                <c:pt idx="88">
                  <c:v>2.5059705033304353E-7</c:v>
                </c:pt>
                <c:pt idx="89">
                  <c:v>2.2821024983030294E-7</c:v>
                </c:pt>
                <c:pt idx="90">
                  <c:v>2.0795537911870591E-7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</c:numCache>
            </c:numRef>
          </c:yVal>
          <c:smooth val="1"/>
        </c:ser>
        <c:ser>
          <c:idx val="1"/>
          <c:order val="4"/>
          <c:tx>
            <c:v>Moda 3</c:v>
          </c:tx>
          <c:spPr>
            <a:ln w="19050"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Weibull!$A$2:$A$118</c:f>
              <c:numCache>
                <c:formatCode>General</c:formatCode>
                <c:ptCount val="117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  <c:pt idx="100">
                  <c:v>449.66</c:v>
                </c:pt>
                <c:pt idx="101">
                  <c:v>493.62</c:v>
                </c:pt>
                <c:pt idx="102">
                  <c:v>541.88</c:v>
                </c:pt>
                <c:pt idx="103">
                  <c:v>594.85</c:v>
                </c:pt>
                <c:pt idx="104">
                  <c:v>653.01</c:v>
                </c:pt>
                <c:pt idx="105">
                  <c:v>716.85</c:v>
                </c:pt>
                <c:pt idx="106">
                  <c:v>786.93</c:v>
                </c:pt>
                <c:pt idx="107">
                  <c:v>863.87</c:v>
                </c:pt>
                <c:pt idx="108">
                  <c:v>948.32</c:v>
                </c:pt>
                <c:pt idx="109">
                  <c:v>1041</c:v>
                </c:pt>
                <c:pt idx="110">
                  <c:v>1142.8</c:v>
                </c:pt>
                <c:pt idx="111">
                  <c:v>1254.5</c:v>
                </c:pt>
                <c:pt idx="112">
                  <c:v>1377.2</c:v>
                </c:pt>
                <c:pt idx="113">
                  <c:v>1511.8</c:v>
                </c:pt>
                <c:pt idx="114">
                  <c:v>1659.6</c:v>
                </c:pt>
                <c:pt idx="115">
                  <c:v>1821.9</c:v>
                </c:pt>
                <c:pt idx="116">
                  <c:v>2000</c:v>
                </c:pt>
              </c:numCache>
            </c:numRef>
          </c:xVal>
          <c:yVal>
            <c:numRef>
              <c:f>Weibull!$F$2:$F$118</c:f>
              <c:numCache>
                <c:formatCode>General</c:formatCode>
                <c:ptCount val="117"/>
                <c:pt idx="0">
                  <c:v>2.4779443923670254E-6</c:v>
                </c:pt>
                <c:pt idx="1">
                  <c:v>3.0480205937496266E-6</c:v>
                </c:pt>
                <c:pt idx="2">
                  <c:v>3.682257997105923E-6</c:v>
                </c:pt>
                <c:pt idx="3">
                  <c:v>4.5667550101010029E-6</c:v>
                </c:pt>
                <c:pt idx="4">
                  <c:v>5.5547740231605272E-6</c:v>
                </c:pt>
                <c:pt idx="5">
                  <c:v>6.8793250369549857E-6</c:v>
                </c:pt>
                <c:pt idx="6">
                  <c:v>8.3578777904406369E-6</c:v>
                </c:pt>
                <c:pt idx="7">
                  <c:v>1.0280692213062899E-5</c:v>
                </c:pt>
                <c:pt idx="8">
                  <c:v>1.2419916447929344E-5</c:v>
                </c:pt>
                <c:pt idx="9">
                  <c:v>1.5493584776674379E-5</c:v>
                </c:pt>
                <c:pt idx="10">
                  <c:v>1.8936830404643519E-5</c:v>
                </c:pt>
                <c:pt idx="11">
                  <c:v>2.320332852431549E-5</c:v>
                </c:pt>
                <c:pt idx="12">
                  <c:v>2.7940972864330691E-5</c:v>
                </c:pt>
                <c:pt idx="13">
                  <c:v>3.4257895952367399E-5</c:v>
                </c:pt>
                <c:pt idx="14">
                  <c:v>4.251281381238953E-5</c:v>
                </c:pt>
                <c:pt idx="15">
                  <c:v>5.1736653816156991E-5</c:v>
                </c:pt>
                <c:pt idx="16">
                  <c:v>6.3484125882100361E-5</c:v>
                </c:pt>
                <c:pt idx="17">
                  <c:v>7.7397793689911473E-5</c:v>
                </c:pt>
                <c:pt idx="18">
                  <c:v>9.472247155593428E-5</c:v>
                </c:pt>
                <c:pt idx="19">
                  <c:v>1.1608463614711526E-4</c:v>
                </c:pt>
                <c:pt idx="20">
                  <c:v>1.4219172944684435E-4</c:v>
                </c:pt>
                <c:pt idx="21">
                  <c:v>1.751722662576541E-4</c:v>
                </c:pt>
                <c:pt idx="22">
                  <c:v>2.1338008679972438E-4</c:v>
                </c:pt>
                <c:pt idx="23">
                  <c:v>2.623036737251246E-4</c:v>
                </c:pt>
                <c:pt idx="24">
                  <c:v>3.2041753547416298E-4</c:v>
                </c:pt>
                <c:pt idx="25">
                  <c:v>3.9309565661223837E-4</c:v>
                </c:pt>
                <c:pt idx="26">
                  <c:v>4.8075407087007479E-4</c:v>
                </c:pt>
                <c:pt idx="27">
                  <c:v>5.8826001560453856E-4</c:v>
                </c:pt>
                <c:pt idx="28">
                  <c:v>7.2186743361210147E-4</c:v>
                </c:pt>
                <c:pt idx="29">
                  <c:v>8.8312056730172582E-4</c:v>
                </c:pt>
                <c:pt idx="30">
                  <c:v>1.0798436199250139E-3</c:v>
                </c:pt>
                <c:pt idx="31">
                  <c:v>1.3258738626450387E-3</c:v>
                </c:pt>
                <c:pt idx="32">
                  <c:v>1.6215366338808628E-3</c:v>
                </c:pt>
                <c:pt idx="33">
                  <c:v>1.9841426660752713E-3</c:v>
                </c:pt>
                <c:pt idx="34">
                  <c:v>2.4306278289142167E-3</c:v>
                </c:pt>
                <c:pt idx="35">
                  <c:v>2.9817657655968363E-3</c:v>
                </c:pt>
                <c:pt idx="36">
                  <c:v>3.6490907579057024E-3</c:v>
                </c:pt>
                <c:pt idx="37">
                  <c:v>4.4662470537779313E-3</c:v>
                </c:pt>
                <c:pt idx="38">
                  <c:v>5.4670982403715119E-3</c:v>
                </c:pt>
                <c:pt idx="39">
                  <c:v>6.7018236864060197E-3</c:v>
                </c:pt>
                <c:pt idx="40">
                  <c:v>8.2008193132403068E-3</c:v>
                </c:pt>
                <c:pt idx="41">
                  <c:v>1.005401827529054E-2</c:v>
                </c:pt>
                <c:pt idx="42">
                  <c:v>1.2311006560940425E-2</c:v>
                </c:pt>
                <c:pt idx="43">
                  <c:v>1.5067347610878707E-2</c:v>
                </c:pt>
                <c:pt idx="44">
                  <c:v>1.8455574834685975E-2</c:v>
                </c:pt>
                <c:pt idx="45">
                  <c:v>2.2603006958611074E-2</c:v>
                </c:pt>
                <c:pt idx="46">
                  <c:v>2.7678520701160166E-2</c:v>
                </c:pt>
                <c:pt idx="47">
                  <c:v>3.3883898325222171E-2</c:v>
                </c:pt>
                <c:pt idx="48">
                  <c:v>4.1510225303874743E-2</c:v>
                </c:pt>
                <c:pt idx="49">
                  <c:v>5.0830269208395805E-2</c:v>
                </c:pt>
                <c:pt idx="50">
                  <c:v>6.2221330537103693E-2</c:v>
                </c:pt>
                <c:pt idx="51">
                  <c:v>7.6205493872478797E-2</c:v>
                </c:pt>
                <c:pt idx="52">
                  <c:v>9.3303826170465939E-2</c:v>
                </c:pt>
                <c:pt idx="53">
                  <c:v>0.11425486792075935</c:v>
                </c:pt>
                <c:pt idx="54">
                  <c:v>0.13985347379711857</c:v>
                </c:pt>
                <c:pt idx="55">
                  <c:v>0.17119446778761785</c:v>
                </c:pt>
                <c:pt idx="56">
                  <c:v>0.20953719749072883</c:v>
                </c:pt>
                <c:pt idx="57">
                  <c:v>0.25644179010063445</c:v>
                </c:pt>
                <c:pt idx="58">
                  <c:v>0.31368460618797955</c:v>
                </c:pt>
                <c:pt idx="59">
                  <c:v>0.38367135050402679</c:v>
                </c:pt>
                <c:pt idx="60">
                  <c:v>0.4691767199862435</c:v>
                </c:pt>
                <c:pt idx="61">
                  <c:v>0.57271592216491263</c:v>
                </c:pt>
                <c:pt idx="62">
                  <c:v>0.69938734775336864</c:v>
                </c:pt>
                <c:pt idx="63">
                  <c:v>0.85259760824144459</c:v>
                </c:pt>
                <c:pt idx="64">
                  <c:v>1.0371587346345488</c:v>
                </c:pt>
                <c:pt idx="65">
                  <c:v>1.2597091385086938</c:v>
                </c:pt>
                <c:pt idx="66">
                  <c:v>1.5257448909507187</c:v>
                </c:pt>
                <c:pt idx="67">
                  <c:v>1.8419300462869268</c:v>
                </c:pt>
                <c:pt idx="68">
                  <c:v>2.210026301549195</c:v>
                </c:pt>
                <c:pt idx="69">
                  <c:v>2.6341046209992953</c:v>
                </c:pt>
                <c:pt idx="70">
                  <c:v>3.1112484186742826</c:v>
                </c:pt>
                <c:pt idx="71">
                  <c:v>3.6295118975912848</c:v>
                </c:pt>
                <c:pt idx="72">
                  <c:v>4.1632004316296527</c:v>
                </c:pt>
                <c:pt idx="73">
                  <c:v>4.6692492424158631</c:v>
                </c:pt>
                <c:pt idx="74">
                  <c:v>5.0796322156321621</c:v>
                </c:pt>
                <c:pt idx="75">
                  <c:v>5.3059006278465732</c:v>
                </c:pt>
                <c:pt idx="76">
                  <c:v>5.2466967574466068</c:v>
                </c:pt>
                <c:pt idx="77">
                  <c:v>4.8206452542273226</c:v>
                </c:pt>
                <c:pt idx="78">
                  <c:v>4.0105651996059972</c:v>
                </c:pt>
                <c:pt idx="79">
                  <c:v>2.922763388668379</c:v>
                </c:pt>
                <c:pt idx="80">
                  <c:v>1.7804784731165224</c:v>
                </c:pt>
                <c:pt idx="81">
                  <c:v>0.85236656989933912</c:v>
                </c:pt>
                <c:pt idx="82">
                  <c:v>0.29549787526211585</c:v>
                </c:pt>
                <c:pt idx="83">
                  <c:v>6.6343520005071974E-2</c:v>
                </c:pt>
                <c:pt idx="84">
                  <c:v>8.2877292728032754E-3</c:v>
                </c:pt>
                <c:pt idx="85">
                  <c:v>4.7009566091190026E-4</c:v>
                </c:pt>
                <c:pt idx="86">
                  <c:v>9.4995873943266026E-6</c:v>
                </c:pt>
                <c:pt idx="87">
                  <c:v>4.5937591089681297E-8</c:v>
                </c:pt>
                <c:pt idx="88">
                  <c:v>3.2329685039296086E-11</c:v>
                </c:pt>
                <c:pt idx="89">
                  <c:v>1.7096784826906954E-15</c:v>
                </c:pt>
                <c:pt idx="90">
                  <c:v>3.1118602779435382E-21</c:v>
                </c:pt>
                <c:pt idx="91">
                  <c:v>5.2422842007886194E-29</c:v>
                </c:pt>
                <c:pt idx="92">
                  <c:v>1.7096490247503408E-39</c:v>
                </c:pt>
                <c:pt idx="93">
                  <c:v>1.3990552251741963E-53</c:v>
                </c:pt>
                <c:pt idx="94">
                  <c:v>1.329976901826383E-72</c:v>
                </c:pt>
                <c:pt idx="95">
                  <c:v>2.8020515885390912E-98</c:v>
                </c:pt>
                <c:pt idx="96">
                  <c:v>1.2673624048948648E-132</c:v>
                </c:pt>
                <c:pt idx="97">
                  <c:v>5.4647536485402299E-179</c:v>
                </c:pt>
                <c:pt idx="98">
                  <c:v>3.1048787592189841E-241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Moda 4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Weibull!$A$2:$A$118</c:f>
              <c:numCache>
                <c:formatCode>General</c:formatCode>
                <c:ptCount val="117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  <c:pt idx="100">
                  <c:v>449.66</c:v>
                </c:pt>
                <c:pt idx="101">
                  <c:v>493.62</c:v>
                </c:pt>
                <c:pt idx="102">
                  <c:v>541.88</c:v>
                </c:pt>
                <c:pt idx="103">
                  <c:v>594.85</c:v>
                </c:pt>
                <c:pt idx="104">
                  <c:v>653.01</c:v>
                </c:pt>
                <c:pt idx="105">
                  <c:v>716.85</c:v>
                </c:pt>
                <c:pt idx="106">
                  <c:v>786.93</c:v>
                </c:pt>
                <c:pt idx="107">
                  <c:v>863.87</c:v>
                </c:pt>
                <c:pt idx="108">
                  <c:v>948.32</c:v>
                </c:pt>
                <c:pt idx="109">
                  <c:v>1041</c:v>
                </c:pt>
                <c:pt idx="110">
                  <c:v>1142.8</c:v>
                </c:pt>
                <c:pt idx="111">
                  <c:v>1254.5</c:v>
                </c:pt>
                <c:pt idx="112">
                  <c:v>1377.2</c:v>
                </c:pt>
                <c:pt idx="113">
                  <c:v>1511.8</c:v>
                </c:pt>
                <c:pt idx="114">
                  <c:v>1659.6</c:v>
                </c:pt>
                <c:pt idx="115">
                  <c:v>1821.9</c:v>
                </c:pt>
                <c:pt idx="116">
                  <c:v>2000</c:v>
                </c:pt>
              </c:numCache>
            </c:numRef>
          </c:xVal>
          <c:yVal>
            <c:numRef>
              <c:f>Weibull!$G$2:$G$118</c:f>
              <c:numCache>
                <c:formatCode>General</c:formatCode>
                <c:ptCount val="117"/>
                <c:pt idx="0">
                  <c:v>8.7453014060221457E-5</c:v>
                </c:pt>
                <c:pt idx="1">
                  <c:v>1.0451954628382187E-4</c:v>
                </c:pt>
                <c:pt idx="2">
                  <c:v>1.2299258587398251E-4</c:v>
                </c:pt>
                <c:pt idx="3">
                  <c:v>1.4803787200417894E-4</c:v>
                </c:pt>
                <c:pt idx="4">
                  <c:v>1.7522848851370468E-4</c:v>
                </c:pt>
                <c:pt idx="5">
                  <c:v>2.1065410389192532E-4</c:v>
                </c:pt>
                <c:pt idx="6">
                  <c:v>2.4909442330409316E-4</c:v>
                </c:pt>
                <c:pt idx="7">
                  <c:v>2.9770540267868803E-4</c:v>
                </c:pt>
                <c:pt idx="8">
                  <c:v>3.5032256045132611E-4</c:v>
                </c:pt>
                <c:pt idx="9">
                  <c:v>4.2378792025874091E-4</c:v>
                </c:pt>
                <c:pt idx="10">
                  <c:v>5.0371579636752906E-4</c:v>
                </c:pt>
                <c:pt idx="11">
                  <c:v>6.0001062978323391E-4</c:v>
                </c:pt>
                <c:pt idx="12">
                  <c:v>7.0409385954972863E-4</c:v>
                </c:pt>
                <c:pt idx="13">
                  <c:v>8.3915394603126193E-4</c:v>
                </c:pt>
                <c:pt idx="14">
                  <c:v>1.0105646214920276E-3</c:v>
                </c:pt>
                <c:pt idx="15">
                  <c:v>1.1966991982573481E-3</c:v>
                </c:pt>
                <c:pt idx="16">
                  <c:v>1.4272341273367315E-3</c:v>
                </c:pt>
                <c:pt idx="17">
                  <c:v>1.6927459383254619E-3</c:v>
                </c:pt>
                <c:pt idx="18">
                  <c:v>2.0142726978142804E-3</c:v>
                </c:pt>
                <c:pt idx="19">
                  <c:v>2.3997103527956939E-3</c:v>
                </c:pt>
                <c:pt idx="20">
                  <c:v>2.8576427477057195E-3</c:v>
                </c:pt>
                <c:pt idx="21">
                  <c:v>3.4198081440106084E-3</c:v>
                </c:pt>
                <c:pt idx="22">
                  <c:v>4.0529799061391151E-3</c:v>
                </c:pt>
                <c:pt idx="23">
                  <c:v>4.8412520047676896E-3</c:v>
                </c:pt>
                <c:pt idx="24">
                  <c:v>5.7515194167347336E-3</c:v>
                </c:pt>
                <c:pt idx="25">
                  <c:v>6.8583033496811101E-3</c:v>
                </c:pt>
                <c:pt idx="26">
                  <c:v>8.1560764837203641E-3</c:v>
                </c:pt>
                <c:pt idx="27">
                  <c:v>9.7036553788274488E-3</c:v>
                </c:pt>
                <c:pt idx="28">
                  <c:v>1.1573285874253134E-2</c:v>
                </c:pt>
                <c:pt idx="29">
                  <c:v>1.3766849409588817E-2</c:v>
                </c:pt>
                <c:pt idx="30">
                  <c:v>1.6368868180785309E-2</c:v>
                </c:pt>
                <c:pt idx="31">
                  <c:v>1.953208620112936E-2</c:v>
                </c:pt>
                <c:pt idx="32">
                  <c:v>2.322714100870877E-2</c:v>
                </c:pt>
                <c:pt idx="33">
                  <c:v>2.7632931826914946E-2</c:v>
                </c:pt>
                <c:pt idx="34">
                  <c:v>3.2906316437829153E-2</c:v>
                </c:pt>
                <c:pt idx="35">
                  <c:v>3.9232364428262147E-2</c:v>
                </c:pt>
                <c:pt idx="36">
                  <c:v>4.6676317344899541E-2</c:v>
                </c:pt>
                <c:pt idx="37">
                  <c:v>5.5535369067942833E-2</c:v>
                </c:pt>
                <c:pt idx="38">
                  <c:v>6.6079323863573805E-2</c:v>
                </c:pt>
                <c:pt idx="39">
                  <c:v>7.8715952014932339E-2</c:v>
                </c:pt>
                <c:pt idx="40">
                  <c:v>9.3616684541776671E-2</c:v>
                </c:pt>
                <c:pt idx="41">
                  <c:v>0.11150368920527109</c:v>
                </c:pt>
                <c:pt idx="42">
                  <c:v>0.13264692225565056</c:v>
                </c:pt>
                <c:pt idx="43">
                  <c:v>0.15769861150378517</c:v>
                </c:pt>
                <c:pt idx="44">
                  <c:v>0.18755527080799531</c:v>
                </c:pt>
                <c:pt idx="45">
                  <c:v>0.22295653116710873</c:v>
                </c:pt>
                <c:pt idx="46">
                  <c:v>0.26487545907537396</c:v>
                </c:pt>
                <c:pt idx="47">
                  <c:v>0.31439363922181951</c:v>
                </c:pt>
                <c:pt idx="48">
                  <c:v>0.37307744807705923</c:v>
                </c:pt>
                <c:pt idx="49">
                  <c:v>0.44205564861557906</c:v>
                </c:pt>
                <c:pt idx="50">
                  <c:v>0.52287687642004554</c:v>
                </c:pt>
                <c:pt idx="51">
                  <c:v>0.61757227405650439</c:v>
                </c:pt>
                <c:pt idx="52">
                  <c:v>0.72742571064997519</c:v>
                </c:pt>
                <c:pt idx="53">
                  <c:v>0.85414203717961656</c:v>
                </c:pt>
                <c:pt idx="54">
                  <c:v>0.99837304309273311</c:v>
                </c:pt>
                <c:pt idx="55">
                  <c:v>1.1605548184995793</c:v>
                </c:pt>
                <c:pt idx="56">
                  <c:v>1.3392473067964428</c:v>
                </c:pt>
                <c:pt idx="57">
                  <c:v>1.5307718483205643</c:v>
                </c:pt>
                <c:pt idx="58">
                  <c:v>1.7275879663778606</c:v>
                </c:pt>
                <c:pt idx="59">
                  <c:v>1.9182637147561861</c:v>
                </c:pt>
                <c:pt idx="60">
                  <c:v>2.0849226919474413</c:v>
                </c:pt>
                <c:pt idx="61">
                  <c:v>2.2026397756296574</c:v>
                </c:pt>
                <c:pt idx="62">
                  <c:v>2.2438566562372397</c:v>
                </c:pt>
                <c:pt idx="63">
                  <c:v>2.1786805945362087</c:v>
                </c:pt>
                <c:pt idx="64">
                  <c:v>1.9877328560395893</c:v>
                </c:pt>
                <c:pt idx="65">
                  <c:v>1.6708530479590551</c:v>
                </c:pt>
                <c:pt idx="66">
                  <c:v>1.2620201929950272</c:v>
                </c:pt>
                <c:pt idx="67">
                  <c:v>0.82765090707485445</c:v>
                </c:pt>
                <c:pt idx="68">
                  <c:v>0.45334096079667702</c:v>
                </c:pt>
                <c:pt idx="69">
                  <c:v>0.19554558490335525</c:v>
                </c:pt>
                <c:pt idx="70">
                  <c:v>6.16792442845394E-2</c:v>
                </c:pt>
                <c:pt idx="71">
                  <c:v>1.2926115341112866E-2</c:v>
                </c:pt>
                <c:pt idx="72">
                  <c:v>1.5911246192229758E-3</c:v>
                </c:pt>
                <c:pt idx="73">
                  <c:v>9.7340341418299217E-5</c:v>
                </c:pt>
                <c:pt idx="74">
                  <c:v>2.4082576576934971E-6</c:v>
                </c:pt>
                <c:pt idx="75">
                  <c:v>1.8054715880290502E-8</c:v>
                </c:pt>
                <c:pt idx="76">
                  <c:v>2.8568286271363134E-11</c:v>
                </c:pt>
                <c:pt idx="77">
                  <c:v>6.0029699502368466E-15</c:v>
                </c:pt>
                <c:pt idx="78">
                  <c:v>8.6486717372215781E-20</c:v>
                </c:pt>
                <c:pt idx="79">
                  <c:v>3.9926960677160354E-26</c:v>
                </c:pt>
                <c:pt idx="80">
                  <c:v>1.9342251096938601E-34</c:v>
                </c:pt>
                <c:pt idx="81">
                  <c:v>2.4480276579413183E-45</c:v>
                </c:pt>
                <c:pt idx="82">
                  <c:v>1.3570348330097742E-59</c:v>
                </c:pt>
                <c:pt idx="83">
                  <c:v>3.0025620707319195E-78</c:v>
                </c:pt>
                <c:pt idx="84">
                  <c:v>1.1166290703070447E-102</c:v>
                </c:pt>
                <c:pt idx="85">
                  <c:v>1.1451046696990911E-134</c:v>
                </c:pt>
                <c:pt idx="86">
                  <c:v>3.1551751028519696E-176</c:v>
                </c:pt>
                <c:pt idx="87">
                  <c:v>9.5049659015060156E-231</c:v>
                </c:pt>
                <c:pt idx="88">
                  <c:v>3.0547237341284928E-302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599040"/>
        <c:axId val="370600576"/>
      </c:scatterChart>
      <c:valAx>
        <c:axId val="370599040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600576"/>
        <c:crosses val="autoZero"/>
        <c:crossBetween val="midCat"/>
      </c:valAx>
      <c:valAx>
        <c:axId val="37060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5990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Normal!$C$2:$C$101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 formatCode="0.00E+00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Normal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Normal!$M$2:$M$118</c:f>
              <c:numCache>
                <c:formatCode>General</c:formatCode>
                <c:ptCount val="117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8.8451122804042082E-6</c:v>
                </c:pt>
                <c:pt idx="10">
                  <c:v>1.4314290504605208E-5</c:v>
                </c:pt>
                <c:pt idx="11">
                  <c:v>2.3078731871163359E-5</c:v>
                </c:pt>
                <c:pt idx="12">
                  <c:v>3.5413834065662187E-5</c:v>
                </c:pt>
                <c:pt idx="13">
                  <c:v>5.6114802329692219E-5</c:v>
                </c:pt>
                <c:pt idx="14">
                  <c:v>9.0394318358331209E-5</c:v>
                </c:pt>
                <c:pt idx="15">
                  <c:v>1.3813367505177303E-4</c:v>
                </c:pt>
                <c:pt idx="16">
                  <c:v>2.128012454850153E-4</c:v>
                </c:pt>
                <c:pt idx="17">
                  <c:v>3.2033963799990415E-4</c:v>
                </c:pt>
                <c:pt idx="18">
                  <c:v>4.8139960600606334E-4</c:v>
                </c:pt>
                <c:pt idx="19">
                  <c:v>7.1837703545785537E-4</c:v>
                </c:pt>
                <c:pt idx="20">
                  <c:v>1.0605003786425323E-3</c:v>
                </c:pt>
                <c:pt idx="21">
                  <c:v>1.5668427187935604E-3</c:v>
                </c:pt>
                <c:pt idx="22">
                  <c:v>2.2450964640168092E-3</c:v>
                </c:pt>
                <c:pt idx="23">
                  <c:v>3.2386783653001712E-3</c:v>
                </c:pt>
                <c:pt idx="24">
                  <c:v>4.5755406462412726E-3</c:v>
                </c:pt>
                <c:pt idx="25">
                  <c:v>6.4488131225928632E-3</c:v>
                </c:pt>
                <c:pt idx="26">
                  <c:v>8.9541710286446217E-3</c:v>
                </c:pt>
                <c:pt idx="27">
                  <c:v>1.232354087093482E-2</c:v>
                </c:pt>
                <c:pt idx="28">
                  <c:v>1.6870151437819295E-2</c:v>
                </c:pt>
                <c:pt idx="29">
                  <c:v>2.2763693922919881E-2</c:v>
                </c:pt>
                <c:pt idx="30">
                  <c:v>3.0398970252584919E-2</c:v>
                </c:pt>
                <c:pt idx="31">
                  <c:v>4.0435396786925551E-2</c:v>
                </c:pt>
                <c:pt idx="32">
                  <c:v>5.2973221038446761E-2</c:v>
                </c:pt>
                <c:pt idx="33">
                  <c:v>6.8778328621228804E-2</c:v>
                </c:pt>
                <c:pt idx="34">
                  <c:v>8.8563562627287484E-2</c:v>
                </c:pt>
                <c:pt idx="35">
                  <c:v>0.11311592258323488</c:v>
                </c:pt>
                <c:pt idx="36">
                  <c:v>0.14266242275496893</c:v>
                </c:pt>
                <c:pt idx="37">
                  <c:v>0.17821264164444156</c:v>
                </c:pt>
                <c:pt idx="38">
                  <c:v>0.22050261121099551</c:v>
                </c:pt>
                <c:pt idx="39">
                  <c:v>0.27057233868282782</c:v>
                </c:pt>
                <c:pt idx="40">
                  <c:v>0.32821575504652284</c:v>
                </c:pt>
                <c:pt idx="41">
                  <c:v>0.39496888475263559</c:v>
                </c:pt>
                <c:pt idx="42">
                  <c:v>0.47016912421664198</c:v>
                </c:pt>
                <c:pt idx="43">
                  <c:v>0.55407406651953239</c:v>
                </c:pt>
                <c:pt idx="44">
                  <c:v>0.64708351985376178</c:v>
                </c:pt>
                <c:pt idx="45">
                  <c:v>0.74838310427192178</c:v>
                </c:pt>
                <c:pt idx="46">
                  <c:v>0.85721297473290803</c:v>
                </c:pt>
                <c:pt idx="47">
                  <c:v>0.97245030064348259</c:v>
                </c:pt>
                <c:pt idx="48">
                  <c:v>1.0934054361156764</c:v>
                </c:pt>
                <c:pt idx="49">
                  <c:v>1.2179130724993181</c:v>
                </c:pt>
                <c:pt idx="50">
                  <c:v>1.3444257707548253</c:v>
                </c:pt>
                <c:pt idx="51">
                  <c:v>1.471907835338746</c:v>
                </c:pt>
                <c:pt idx="52">
                  <c:v>1.5983877981402619</c:v>
                </c:pt>
                <c:pt idx="53">
                  <c:v>1.7229851149551421</c:v>
                </c:pt>
                <c:pt idx="54">
                  <c:v>1.8446290063717072</c:v>
                </c:pt>
                <c:pt idx="55">
                  <c:v>1.9634122290906708</c:v>
                </c:pt>
                <c:pt idx="56">
                  <c:v>2.0797393281492194</c:v>
                </c:pt>
                <c:pt idx="57">
                  <c:v>2.1949092681476468</c:v>
                </c:pt>
                <c:pt idx="58">
                  <c:v>2.3109581820657521</c:v>
                </c:pt>
                <c:pt idx="59">
                  <c:v>2.4316083466845519</c:v>
                </c:pt>
                <c:pt idx="60">
                  <c:v>2.5617501389977262</c:v>
                </c:pt>
                <c:pt idx="61">
                  <c:v>2.7067475901795772</c:v>
                </c:pt>
                <c:pt idx="62">
                  <c:v>2.875939732066517</c:v>
                </c:pt>
                <c:pt idx="63">
                  <c:v>3.0754560531432591</c:v>
                </c:pt>
                <c:pt idx="64">
                  <c:v>3.3102560960808152</c:v>
                </c:pt>
                <c:pt idx="65">
                  <c:v>3.5813245626597365</c:v>
                </c:pt>
                <c:pt idx="66">
                  <c:v>3.8787851246213334</c:v>
                </c:pt>
                <c:pt idx="67">
                  <c:v>4.1835576153595202</c:v>
                </c:pt>
                <c:pt idx="68">
                  <c:v>4.4659750116823966</c:v>
                </c:pt>
                <c:pt idx="69">
                  <c:v>4.704854075872797</c:v>
                </c:pt>
                <c:pt idx="70">
                  <c:v>4.8990101696794994</c:v>
                </c:pt>
                <c:pt idx="71">
                  <c:v>5.0849847426874391</c:v>
                </c:pt>
                <c:pt idx="72">
                  <c:v>5.3280931851114719</c:v>
                </c:pt>
                <c:pt idx="73">
                  <c:v>5.6711487153293003</c:v>
                </c:pt>
                <c:pt idx="74">
                  <c:v>6.0564735869567539</c:v>
                </c:pt>
                <c:pt idx="75">
                  <c:v>6.2976637411231842</c:v>
                </c:pt>
                <c:pt idx="76">
                  <c:v>6.15453379297601</c:v>
                </c:pt>
                <c:pt idx="77">
                  <c:v>5.4964547853192647</c:v>
                </c:pt>
                <c:pt idx="78">
                  <c:v>4.4083402226897128</c:v>
                </c:pt>
                <c:pt idx="79">
                  <c:v>3.162165935545084</c:v>
                </c:pt>
                <c:pt idx="80">
                  <c:v>2.0402364897513063</c:v>
                </c:pt>
                <c:pt idx="81">
                  <c:v>1.2094693503282703</c:v>
                </c:pt>
                <c:pt idx="82">
                  <c:v>0.68507653886502295</c:v>
                </c:pt>
                <c:pt idx="83">
                  <c:v>0.39041981206984822</c:v>
                </c:pt>
                <c:pt idx="84">
                  <c:v>0.23432072488202266</c:v>
                </c:pt>
                <c:pt idx="85">
                  <c:v>0.15045947343740274</c:v>
                </c:pt>
                <c:pt idx="86">
                  <c:v>0.10206978763960359</c:v>
                </c:pt>
                <c:pt idx="87">
                  <c:v>7.1161796172876005E-2</c:v>
                </c:pt>
                <c:pt idx="88">
                  <c:v>5.018427026266447E-2</c:v>
                </c:pt>
                <c:pt idx="89">
                  <c:v>3.5524432092780861E-2</c:v>
                </c:pt>
                <c:pt idx="90">
                  <c:v>2.5220820401648254E-2</c:v>
                </c:pt>
                <c:pt idx="91">
                  <c:v>1.7862628697266687E-2</c:v>
                </c:pt>
                <c:pt idx="92">
                  <c:v>1.2622662465416563E-2</c:v>
                </c:pt>
                <c:pt idx="93">
                  <c:v>8.9012592591807653E-3</c:v>
                </c:pt>
                <c:pt idx="94">
                  <c:v>6.2458840018770568E-3</c:v>
                </c:pt>
                <c:pt idx="95">
                  <c:v>4.3579078120352293E-3</c:v>
                </c:pt>
                <c:pt idx="96">
                  <c:v>3.029775709929581E-3</c:v>
                </c:pt>
                <c:pt idx="97">
                  <c:v>2.0898119844193473E-3</c:v>
                </c:pt>
                <c:pt idx="98">
                  <c:v>1.4320429140336989E-3</c:v>
                </c:pt>
                <c:pt idx="99">
                  <c:v>9.7305718491649872E-4</c:v>
                </c:pt>
                <c:pt idx="100">
                  <c:v>6.557306517233156E-4</c:v>
                </c:pt>
                <c:pt idx="101">
                  <c:v>4.3810084950915489E-4</c:v>
                </c:pt>
                <c:pt idx="102">
                  <c:v>2.9005518575853778E-4</c:v>
                </c:pt>
                <c:pt idx="103">
                  <c:v>1.9027667190445516E-4</c:v>
                </c:pt>
                <c:pt idx="104">
                  <c:v>1.2363934173749411E-4</c:v>
                </c:pt>
                <c:pt idx="105">
                  <c:v>7.9579416752927353E-5</c:v>
                </c:pt>
                <c:pt idx="106">
                  <c:v>5.0730644708306771E-5</c:v>
                </c:pt>
                <c:pt idx="107">
                  <c:v>3.2027162576013548E-5</c:v>
                </c:pt>
                <c:pt idx="108">
                  <c:v>2.0025415138497233E-5</c:v>
                </c:pt>
                <c:pt idx="109">
                  <c:v>1.2401604343339577E-5</c:v>
                </c:pt>
                <c:pt idx="110">
                  <c:v>7.6036674826936718E-6</c:v>
                </c:pt>
                <c:pt idx="111">
                  <c:v>4.6178223973044286E-6</c:v>
                </c:pt>
                <c:pt idx="112">
                  <c:v>2.7763645474594252E-6</c:v>
                </c:pt>
                <c:pt idx="113">
                  <c:v>1.6536351705741751E-6</c:v>
                </c:pt>
                <c:pt idx="114">
                  <c:v>9.7521923023136586E-7</c:v>
                </c:pt>
                <c:pt idx="115">
                  <c:v>5.6945383582833983E-7</c:v>
                </c:pt>
                <c:pt idx="116">
                  <c:v>3.2935815282824411E-7</c:v>
                </c:pt>
              </c:numCache>
            </c:numRef>
          </c:yVal>
          <c:smooth val="1"/>
        </c:ser>
        <c:ser>
          <c:idx val="2"/>
          <c:order val="2"/>
          <c:tx>
            <c:v>Moda 1</c:v>
          </c:tx>
          <c:spPr>
            <a:ln w="19050"/>
          </c:spPr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Normal!$D$2:$D$101</c:f>
              <c:numCache>
                <c:formatCode>General</c:formatCode>
                <c:ptCount val="100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8.8451122804042066E-6</c:v>
                </c:pt>
                <c:pt idx="10">
                  <c:v>1.4314290504605203E-5</c:v>
                </c:pt>
                <c:pt idx="11">
                  <c:v>2.3078731871163335E-5</c:v>
                </c:pt>
                <c:pt idx="12">
                  <c:v>3.5413834065662085E-5</c:v>
                </c:pt>
                <c:pt idx="13">
                  <c:v>5.6114802329691744E-5</c:v>
                </c:pt>
                <c:pt idx="14">
                  <c:v>9.0394318358328864E-5</c:v>
                </c:pt>
                <c:pt idx="15">
                  <c:v>1.3813367505176327E-4</c:v>
                </c:pt>
                <c:pt idx="16">
                  <c:v>2.1280124548497326E-4</c:v>
                </c:pt>
                <c:pt idx="17">
                  <c:v>3.2033963799973561E-4</c:v>
                </c:pt>
                <c:pt idx="18">
                  <c:v>4.8139960600538745E-4</c:v>
                </c:pt>
                <c:pt idx="19">
                  <c:v>7.1837703545519203E-4</c:v>
                </c:pt>
                <c:pt idx="20">
                  <c:v>1.0605003786323527E-3</c:v>
                </c:pt>
                <c:pt idx="21">
                  <c:v>1.5668427187542733E-3</c:v>
                </c:pt>
                <c:pt idx="22">
                  <c:v>2.2450964638795292E-3</c:v>
                </c:pt>
                <c:pt idx="23">
                  <c:v>3.2386783648056363E-3</c:v>
                </c:pt>
                <c:pt idx="24">
                  <c:v>4.5755406445733464E-3</c:v>
                </c:pt>
                <c:pt idx="25">
                  <c:v>6.4488131169730878E-3</c:v>
                </c:pt>
                <c:pt idx="26">
                  <c:v>8.9541710105502208E-3</c:v>
                </c:pt>
                <c:pt idx="27">
                  <c:v>1.232354081404289E-2</c:v>
                </c:pt>
                <c:pt idx="28">
                  <c:v>1.6870151260915706E-2</c:v>
                </c:pt>
                <c:pt idx="29">
                  <c:v>2.2763693396431469E-2</c:v>
                </c:pt>
                <c:pt idx="30">
                  <c:v>3.0398968731031546E-2</c:v>
                </c:pt>
                <c:pt idx="31">
                  <c:v>4.0435392413845424E-2</c:v>
                </c:pt>
                <c:pt idx="32">
                  <c:v>5.2973209049479213E-2</c:v>
                </c:pt>
                <c:pt idx="33">
                  <c:v>6.8778296537838568E-2</c:v>
                </c:pt>
                <c:pt idx="34">
                  <c:v>8.8563478585618E-2</c:v>
                </c:pt>
                <c:pt idx="35">
                  <c:v>0.11311570694518272</c:v>
                </c:pt>
                <c:pt idx="36">
                  <c:v>0.14266189011220787</c:v>
                </c:pt>
                <c:pt idx="37">
                  <c:v>0.17821136016959704</c:v>
                </c:pt>
                <c:pt idx="38">
                  <c:v>0.22049960813085565</c:v>
                </c:pt>
                <c:pt idx="39">
                  <c:v>0.27056544811454669</c:v>
                </c:pt>
                <c:pt idx="40">
                  <c:v>0.32820047516890732</c:v>
                </c:pt>
                <c:pt idx="41">
                  <c:v>0.39493566273621067</c:v>
                </c:pt>
                <c:pt idx="42">
                  <c:v>0.4700991428599679</c:v>
                </c:pt>
                <c:pt idx="43">
                  <c:v>0.55393081244921916</c:v>
                </c:pt>
                <c:pt idx="44">
                  <c:v>0.64679726491799283</c:v>
                </c:pt>
                <c:pt idx="45">
                  <c:v>0.74782656048671736</c:v>
                </c:pt>
                <c:pt idx="46">
                  <c:v>0.85616019060712434</c:v>
                </c:pt>
                <c:pt idx="47">
                  <c:v>0.97051337403234794</c:v>
                </c:pt>
                <c:pt idx="48">
                  <c:v>1.0899291928902108</c:v>
                </c:pt>
                <c:pt idx="49">
                  <c:v>1.2118476057559602</c:v>
                </c:pt>
                <c:pt idx="50">
                  <c:v>1.3341316474188767</c:v>
                </c:pt>
                <c:pt idx="51">
                  <c:v>1.4548741611133436</c:v>
                </c:pt>
                <c:pt idx="52">
                  <c:v>1.5709611963156418</c:v>
                </c:pt>
                <c:pt idx="53">
                  <c:v>1.679954359955496</c:v>
                </c:pt>
                <c:pt idx="54">
                  <c:v>1.7788906347939708</c:v>
                </c:pt>
                <c:pt idx="55">
                  <c:v>1.8654549481169489</c:v>
                </c:pt>
                <c:pt idx="56">
                  <c:v>1.9372559101927975</c:v>
                </c:pt>
                <c:pt idx="57">
                  <c:v>1.9923052653247617</c:v>
                </c:pt>
                <c:pt idx="58">
                  <c:v>2.028968764462534</c:v>
                </c:pt>
                <c:pt idx="59">
                  <c:v>2.0462800772086251</c:v>
                </c:pt>
                <c:pt idx="60">
                  <c:v>2.0436563667220904</c:v>
                </c:pt>
                <c:pt idx="61">
                  <c:v>2.0213193569238292</c:v>
                </c:pt>
                <c:pt idx="62">
                  <c:v>1.979630062561613</c:v>
                </c:pt>
                <c:pt idx="63">
                  <c:v>1.9200631913662973</c:v>
                </c:pt>
                <c:pt idx="64">
                  <c:v>1.844445806797929</c:v>
                </c:pt>
                <c:pt idx="65">
                  <c:v>1.7544308366892705</c:v>
                </c:pt>
                <c:pt idx="66">
                  <c:v>1.6525824316778175</c:v>
                </c:pt>
                <c:pt idx="67">
                  <c:v>1.5411877996674956</c:v>
                </c:pt>
                <c:pt idx="68">
                  <c:v>1.4239079038187694</c:v>
                </c:pt>
                <c:pt idx="69">
                  <c:v>1.3026809252384126</c:v>
                </c:pt>
                <c:pt idx="70">
                  <c:v>1.1800743159196077</c:v>
                </c:pt>
                <c:pt idx="71">
                  <c:v>1.0585638295245436</c:v>
                </c:pt>
                <c:pt idx="72">
                  <c:v>0.94041574199993361</c:v>
                </c:pt>
                <c:pt idx="73">
                  <c:v>0.82725942764330207</c:v>
                </c:pt>
                <c:pt idx="74">
                  <c:v>0.72081007433876076</c:v>
                </c:pt>
                <c:pt idx="75">
                  <c:v>0.62187285378541157</c:v>
                </c:pt>
                <c:pt idx="76">
                  <c:v>0.53131224101151875</c:v>
                </c:pt>
                <c:pt idx="77">
                  <c:v>0.44964980623178014</c:v>
                </c:pt>
                <c:pt idx="78">
                  <c:v>0.37668787387824676</c:v>
                </c:pt>
                <c:pt idx="79">
                  <c:v>0.31263714208548649</c:v>
                </c:pt>
                <c:pt idx="80">
                  <c:v>0.25689031449465988</c:v>
                </c:pt>
                <c:pt idx="81">
                  <c:v>0.20901064667815661</c:v>
                </c:pt>
                <c:pt idx="82">
                  <c:v>0.16843141172614118</c:v>
                </c:pt>
                <c:pt idx="83">
                  <c:v>0.13441396499710268</c:v>
                </c:pt>
                <c:pt idx="84">
                  <c:v>0.10620294174198158</c:v>
                </c:pt>
                <c:pt idx="85">
                  <c:v>8.3080073017070571E-2</c:v>
                </c:pt>
                <c:pt idx="86">
                  <c:v>6.446094139930035E-2</c:v>
                </c:pt>
                <c:pt idx="87">
                  <c:v>4.9480771144003281E-2</c:v>
                </c:pt>
                <c:pt idx="88">
                  <c:v>3.7584931582642381E-2</c:v>
                </c:pt>
                <c:pt idx="89">
                  <c:v>2.8261744197170497E-2</c:v>
                </c:pt>
                <c:pt idx="90">
                  <c:v>2.1086522996661729E-2</c:v>
                </c:pt>
                <c:pt idx="91">
                  <c:v>1.5562527409024286E-2</c:v>
                </c:pt>
                <c:pt idx="92">
                  <c:v>1.1372588494246326E-2</c:v>
                </c:pt>
                <c:pt idx="93">
                  <c:v>8.2372105889322797E-3</c:v>
                </c:pt>
                <c:pt idx="94">
                  <c:v>5.9026620747873928E-3</c:v>
                </c:pt>
                <c:pt idx="95">
                  <c:v>4.1853574331461646E-3</c:v>
                </c:pt>
                <c:pt idx="96">
                  <c:v>2.9449434085023702E-3</c:v>
                </c:pt>
                <c:pt idx="97">
                  <c:v>2.0493127270249361E-3</c:v>
                </c:pt>
                <c:pt idx="98">
                  <c:v>1.4131937027913439E-3</c:v>
                </c:pt>
                <c:pt idx="99">
                  <c:v>9.6452711588775584E-4</c:v>
                </c:pt>
              </c:numCache>
            </c:numRef>
          </c:yVal>
          <c:smooth val="1"/>
        </c:ser>
        <c:ser>
          <c:idx val="3"/>
          <c:order val="3"/>
          <c:tx>
            <c:v>Moda 2</c:v>
          </c:tx>
          <c:spPr>
            <a:ln w="19050"/>
          </c:spPr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Normal!$F$2:$F$101</c:f>
              <c:numCache>
                <c:formatCode>General</c:formatCode>
                <c:ptCount val="100"/>
                <c:pt idx="0">
                  <c:v>7.5677574615342769E-65</c:v>
                </c:pt>
                <c:pt idx="1">
                  <c:v>5.1460063187853888E-63</c:v>
                </c:pt>
                <c:pt idx="2">
                  <c:v>2.2979798658382978E-61</c:v>
                </c:pt>
                <c:pt idx="3">
                  <c:v>1.6347590505865137E-59</c:v>
                </c:pt>
                <c:pt idx="4">
                  <c:v>7.4758305626498458E-58</c:v>
                </c:pt>
                <c:pt idx="5">
                  <c:v>4.56580737797231E-56</c:v>
                </c:pt>
                <c:pt idx="6">
                  <c:v>1.8227151754895603E-54</c:v>
                </c:pt>
                <c:pt idx="7">
                  <c:v>8.6716951270220273E-53</c:v>
                </c:pt>
                <c:pt idx="8">
                  <c:v>2.794913298453136E-51</c:v>
                </c:pt>
                <c:pt idx="9">
                  <c:v>1.5231327598564333E-49</c:v>
                </c:pt>
                <c:pt idx="10">
                  <c:v>5.4014170341278655E-48</c:v>
                </c:pt>
                <c:pt idx="11">
                  <c:v>1.8894496314526013E-46</c:v>
                </c:pt>
                <c:pt idx="12">
                  <c:v>4.6320893848619996E-45</c:v>
                </c:pt>
                <c:pt idx="13">
                  <c:v>1.4640065071065527E-43</c:v>
                </c:pt>
                <c:pt idx="14">
                  <c:v>5.3232077573342109E-42</c:v>
                </c:pt>
                <c:pt idx="15">
                  <c:v>1.3203905185851315E-40</c:v>
                </c:pt>
                <c:pt idx="16">
                  <c:v>3.5369670666840933E-39</c:v>
                </c:pt>
                <c:pt idx="17">
                  <c:v>8.070913753024162E-38</c:v>
                </c:pt>
                <c:pt idx="18">
                  <c:v>1.8472528774594925E-36</c:v>
                </c:pt>
                <c:pt idx="19">
                  <c:v>4.0736988370180799E-35</c:v>
                </c:pt>
                <c:pt idx="20">
                  <c:v>8.407840009564311E-34</c:v>
                </c:pt>
                <c:pt idx="21">
                  <c:v>1.7787586869079865E-32</c:v>
                </c:pt>
                <c:pt idx="22">
                  <c:v>3.0140346554927101E-31</c:v>
                </c:pt>
                <c:pt idx="23">
                  <c:v>5.4869253575492213E-30</c:v>
                </c:pt>
                <c:pt idx="24">
                  <c:v>8.6287674648357653E-29</c:v>
                </c:pt>
                <c:pt idx="25">
                  <c:v>1.3578025464042428E-27</c:v>
                </c:pt>
                <c:pt idx="26">
                  <c:v>1.9331439038724516E-26</c:v>
                </c:pt>
                <c:pt idx="27">
                  <c:v>2.6154816655846862E-25</c:v>
                </c:pt>
                <c:pt idx="28">
                  <c:v>3.4612690355424573E-24</c:v>
                </c:pt>
                <c:pt idx="29">
                  <c:v>4.158667215549504E-23</c:v>
                </c:pt>
                <c:pt idx="30">
                  <c:v>4.6879904354884482E-22</c:v>
                </c:pt>
                <c:pt idx="31">
                  <c:v>5.2361167896518594E-21</c:v>
                </c:pt>
                <c:pt idx="32">
                  <c:v>5.2678579946433923E-20</c:v>
                </c:pt>
                <c:pt idx="33">
                  <c:v>5.0319509139542698E-19</c:v>
                </c:pt>
                <c:pt idx="34">
                  <c:v>4.5931828952791271E-18</c:v>
                </c:pt>
                <c:pt idx="35">
                  <c:v>4.013157511008857E-17</c:v>
                </c:pt>
                <c:pt idx="36">
                  <c:v>3.2248179428818175E-16</c:v>
                </c:pt>
                <c:pt idx="37">
                  <c:v>2.4482573106979377E-15</c:v>
                </c:pt>
                <c:pt idx="38">
                  <c:v>1.7562629726969491E-14</c:v>
                </c:pt>
                <c:pt idx="39">
                  <c:v>1.2048302785474033E-13</c:v>
                </c:pt>
                <c:pt idx="40">
                  <c:v>7.6691974409907373E-13</c:v>
                </c:pt>
                <c:pt idx="41">
                  <c:v>4.6840624114981162E-12</c:v>
                </c:pt>
                <c:pt idx="42">
                  <c:v>2.6696827418509329E-11</c:v>
                </c:pt>
                <c:pt idx="43">
                  <c:v>1.4299258056033257E-10</c:v>
                </c:pt>
                <c:pt idx="44">
                  <c:v>7.2738498619551153E-10</c:v>
                </c:pt>
                <c:pt idx="45">
                  <c:v>3.4872498173431029E-9</c:v>
                </c:pt>
                <c:pt idx="46">
                  <c:v>1.5756027773160498E-8</c:v>
                </c:pt>
                <c:pt idx="47">
                  <c:v>6.7029157690055148E-8</c:v>
                </c:pt>
                <c:pt idx="48">
                  <c:v>2.7039063639933342E-7</c:v>
                </c:pt>
                <c:pt idx="49">
                  <c:v>1.0259217444413161E-6</c:v>
                </c:pt>
                <c:pt idx="50">
                  <c:v>3.6650468513883607E-6</c:v>
                </c:pt>
                <c:pt idx="51">
                  <c:v>1.2395442147949205E-5</c:v>
                </c:pt>
                <c:pt idx="52">
                  <c:v>3.9486490989366847E-5</c:v>
                </c:pt>
                <c:pt idx="53">
                  <c:v>1.187982704991058E-4</c:v>
                </c:pt>
                <c:pt idx="54">
                  <c:v>3.3660476516132932E-4</c:v>
                </c:pt>
                <c:pt idx="55">
                  <c:v>9.0048593744960137E-4</c:v>
                </c:pt>
                <c:pt idx="56">
                  <c:v>2.2730932208098924E-3</c:v>
                </c:pt>
                <c:pt idx="57">
                  <c:v>5.4152952512423278E-3</c:v>
                </c:pt>
                <c:pt idx="58">
                  <c:v>1.2158366110806009E-2</c:v>
                </c:pt>
                <c:pt idx="59">
                  <c:v>2.5779530996347104E-2</c:v>
                </c:pt>
                <c:pt idx="60">
                  <c:v>5.1609718723916627E-2</c:v>
                </c:pt>
                <c:pt idx="61">
                  <c:v>9.7114935539351077E-2</c:v>
                </c:pt>
                <c:pt idx="62">
                  <c:v>0.17307410802724169</c:v>
                </c:pt>
                <c:pt idx="63">
                  <c:v>0.29049170049917994</c:v>
                </c:pt>
                <c:pt idx="64">
                  <c:v>0.45940693696192619</c:v>
                </c:pt>
                <c:pt idx="65">
                  <c:v>0.68636681327059357</c:v>
                </c:pt>
                <c:pt idx="66">
                  <c:v>0.96748717405871709</c:v>
                </c:pt>
                <c:pt idx="67">
                  <c:v>1.2875028052919384</c:v>
                </c:pt>
                <c:pt idx="68">
                  <c:v>1.6140725074162918</c:v>
                </c:pt>
                <c:pt idx="69">
                  <c:v>1.9097846772164428</c:v>
                </c:pt>
                <c:pt idx="70">
                  <c:v>2.132230347397392</c:v>
                </c:pt>
                <c:pt idx="71">
                  <c:v>2.2457963541841504</c:v>
                </c:pt>
                <c:pt idx="72">
                  <c:v>2.231385476430118</c:v>
                </c:pt>
                <c:pt idx="73">
                  <c:v>2.0914211129156901</c:v>
                </c:pt>
                <c:pt idx="74">
                  <c:v>1.8495725038918647</c:v>
                </c:pt>
                <c:pt idx="75">
                  <c:v>1.5429245000281804</c:v>
                </c:pt>
                <c:pt idx="76">
                  <c:v>1.2142659324781917</c:v>
                </c:pt>
                <c:pt idx="77">
                  <c:v>0.90196624884946586</c:v>
                </c:pt>
                <c:pt idx="78">
                  <c:v>0.63157754369852315</c:v>
                </c:pt>
                <c:pt idx="79">
                  <c:v>0.41760357962973077</c:v>
                </c:pt>
                <c:pt idx="80">
                  <c:v>0.26034630999610037</c:v>
                </c:pt>
                <c:pt idx="81">
                  <c:v>0.15307372826981774</c:v>
                </c:pt>
                <c:pt idx="82">
                  <c:v>8.4943048810529179E-2</c:v>
                </c:pt>
                <c:pt idx="83">
                  <c:v>4.4469885017974942E-2</c:v>
                </c:pt>
                <c:pt idx="84">
                  <c:v>2.1949423242566549E-2</c:v>
                </c:pt>
                <c:pt idx="85">
                  <c:v>1.0213124948842458E-2</c:v>
                </c:pt>
                <c:pt idx="86">
                  <c:v>4.5057981457228766E-3</c:v>
                </c:pt>
                <c:pt idx="87">
                  <c:v>1.8696254849114881E-3</c:v>
                </c:pt>
                <c:pt idx="88">
                  <c:v>7.2999400754151578E-4</c:v>
                </c:pt>
                <c:pt idx="89">
                  <c:v>2.6852606769880484E-4</c:v>
                </c:pt>
                <c:pt idx="90">
                  <c:v>9.3842383817486691E-5</c:v>
                </c:pt>
                <c:pt idx="91">
                  <c:v>3.0814057728103093E-5</c:v>
                </c:pt>
                <c:pt idx="92">
                  <c:v>9.5404111318798529E-6</c:v>
                </c:pt>
                <c:pt idx="93">
                  <c:v>2.7959014884125839E-6</c:v>
                </c:pt>
                <c:pt idx="94">
                  <c:v>7.7016802618958144E-7</c:v>
                </c:pt>
                <c:pt idx="95">
                  <c:v>1.9950748997374568E-7</c:v>
                </c:pt>
                <c:pt idx="96">
                  <c:v>4.9155744722719809E-8</c:v>
                </c:pt>
                <c:pt idx="97">
                  <c:v>1.1365497250126972E-8</c:v>
                </c:pt>
                <c:pt idx="98">
                  <c:v>2.48607208174472E-9</c:v>
                </c:pt>
                <c:pt idx="99">
                  <c:v>5.1184040703280133E-10</c:v>
                </c:pt>
              </c:numCache>
            </c:numRef>
          </c:yVal>
          <c:smooth val="1"/>
        </c:ser>
        <c:ser>
          <c:idx val="4"/>
          <c:order val="4"/>
          <c:tx>
            <c:v>Moda 3</c:v>
          </c:tx>
          <c:spPr>
            <a:ln w="19050"/>
          </c:spPr>
          <c:marker>
            <c:symbol val="none"/>
          </c:marker>
          <c:xVal>
            <c:numRef>
              <c:f>Normal!$A$2:$A$118</c:f>
              <c:numCache>
                <c:formatCode>General</c:formatCode>
                <c:ptCount val="117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  <c:pt idx="100">
                  <c:v>449.66</c:v>
                </c:pt>
                <c:pt idx="101">
                  <c:v>493.62</c:v>
                </c:pt>
                <c:pt idx="102">
                  <c:v>541.88</c:v>
                </c:pt>
                <c:pt idx="103">
                  <c:v>594.85</c:v>
                </c:pt>
                <c:pt idx="104">
                  <c:v>653.01</c:v>
                </c:pt>
                <c:pt idx="105">
                  <c:v>716.85</c:v>
                </c:pt>
                <c:pt idx="106">
                  <c:v>786.93</c:v>
                </c:pt>
                <c:pt idx="107">
                  <c:v>863.87</c:v>
                </c:pt>
                <c:pt idx="108">
                  <c:v>948.32</c:v>
                </c:pt>
                <c:pt idx="109">
                  <c:v>1041</c:v>
                </c:pt>
                <c:pt idx="110">
                  <c:v>1142.8</c:v>
                </c:pt>
                <c:pt idx="111">
                  <c:v>1254.5</c:v>
                </c:pt>
                <c:pt idx="112">
                  <c:v>1377.2</c:v>
                </c:pt>
                <c:pt idx="113">
                  <c:v>1511.8</c:v>
                </c:pt>
                <c:pt idx="114">
                  <c:v>1659.6</c:v>
                </c:pt>
                <c:pt idx="115">
                  <c:v>1821.9</c:v>
                </c:pt>
                <c:pt idx="116">
                  <c:v>2000</c:v>
                </c:pt>
              </c:numCache>
            </c:numRef>
          </c:xVal>
          <c:yVal>
            <c:numRef>
              <c:f>Normal!$G$2:$G$118</c:f>
              <c:numCache>
                <c:formatCode>General</c:formatCode>
                <c:ptCount val="117"/>
                <c:pt idx="0">
                  <c:v>4.406348772236769E-199</c:v>
                </c:pt>
                <c:pt idx="1">
                  <c:v>8.6741432074822072E-194</c:v>
                </c:pt>
                <c:pt idx="2">
                  <c:v>5.1174824565203491E-189</c:v>
                </c:pt>
                <c:pt idx="3">
                  <c:v>1.1741660656450669E-183</c:v>
                </c:pt>
                <c:pt idx="4">
                  <c:v>7.5809227817137113E-179</c:v>
                </c:pt>
                <c:pt idx="5">
                  <c:v>1.1455335708473931E-173</c:v>
                </c:pt>
                <c:pt idx="6">
                  <c:v>5.1002913670456762E-169</c:v>
                </c:pt>
                <c:pt idx="7">
                  <c:v>3.8237989010309231E-164</c:v>
                </c:pt>
                <c:pt idx="8">
                  <c:v>9.3450513258492929E-160</c:v>
                </c:pt>
                <c:pt idx="9">
                  <c:v>1.0667958117832813E-154</c:v>
                </c:pt>
                <c:pt idx="10">
                  <c:v>3.5281721665976538E-150</c:v>
                </c:pt>
                <c:pt idx="11">
                  <c:v>1.1352344785105435E-145</c:v>
                </c:pt>
                <c:pt idx="12">
                  <c:v>1.3082447255092618E-141</c:v>
                </c:pt>
                <c:pt idx="13">
                  <c:v>3.2076347000194559E-137</c:v>
                </c:pt>
                <c:pt idx="14">
                  <c:v>1.2024624715075014E-132</c:v>
                </c:pt>
                <c:pt idx="15">
                  <c:v>1.4887986576544782E-128</c:v>
                </c:pt>
                <c:pt idx="16">
                  <c:v>2.3414853308204285E-124</c:v>
                </c:pt>
                <c:pt idx="17">
                  <c:v>2.3296689863752726E-120</c:v>
                </c:pt>
                <c:pt idx="18">
                  <c:v>2.371085937306001E-116</c:v>
                </c:pt>
                <c:pt idx="19">
                  <c:v>2.1940261425444996E-112</c:v>
                </c:pt>
                <c:pt idx="20">
                  <c:v>1.6941137334096644E-108</c:v>
                </c:pt>
                <c:pt idx="21">
                  <c:v>1.4292868866922207E-104</c:v>
                </c:pt>
                <c:pt idx="22">
                  <c:v>6.3407153320908906E-101</c:v>
                </c:pt>
                <c:pt idx="23">
                  <c:v>3.5349634953550056E-97</c:v>
                </c:pt>
                <c:pt idx="24">
                  <c:v>1.2955267727169589E-93</c:v>
                </c:pt>
                <c:pt idx="25">
                  <c:v>4.8342654215349685E-90</c:v>
                </c:pt>
                <c:pt idx="26">
                  <c:v>1.3601916719236188E-86</c:v>
                </c:pt>
                <c:pt idx="27">
                  <c:v>3.3409620124567856E-83</c:v>
                </c:pt>
                <c:pt idx="28">
                  <c:v>7.8144654222338382E-80</c:v>
                </c:pt>
                <c:pt idx="29">
                  <c:v>1.391472344445038E-76</c:v>
                </c:pt>
                <c:pt idx="30">
                  <c:v>2.081512673585673E-73</c:v>
                </c:pt>
                <c:pt idx="31">
                  <c:v>3.0851729710635002E-70</c:v>
                </c:pt>
                <c:pt idx="32">
                  <c:v>3.3959724267371515E-67</c:v>
                </c:pt>
                <c:pt idx="33">
                  <c:v>3.255496669635389E-64</c:v>
                </c:pt>
                <c:pt idx="34">
                  <c:v>2.7723897472133625E-61</c:v>
                </c:pt>
                <c:pt idx="35">
                  <c:v>2.1088193799318151E-58</c:v>
                </c:pt>
                <c:pt idx="36">
                  <c:v>1.2676749806224532E-55</c:v>
                </c:pt>
                <c:pt idx="37">
                  <c:v>6.5386176451761051E-53</c:v>
                </c:pt>
                <c:pt idx="38">
                  <c:v>2.8949260126881055E-50</c:v>
                </c:pt>
                <c:pt idx="39">
                  <c:v>1.1421629878663474E-47</c:v>
                </c:pt>
                <c:pt idx="40">
                  <c:v>3.6560990628897114E-45</c:v>
                </c:pt>
                <c:pt idx="41">
                  <c:v>1.054139425022441E-42</c:v>
                </c:pt>
                <c:pt idx="42">
                  <c:v>2.509551860828434E-40</c:v>
                </c:pt>
                <c:pt idx="43">
                  <c:v>5.0416276845130491E-38</c:v>
                </c:pt>
                <c:pt idx="44">
                  <c:v>8.837334526932511E-36</c:v>
                </c:pt>
                <c:pt idx="45">
                  <c:v>1.3192753449102397E-33</c:v>
                </c:pt>
                <c:pt idx="46">
                  <c:v>1.676937919277447E-31</c:v>
                </c:pt>
                <c:pt idx="47">
                  <c:v>1.8095399098969326E-29</c:v>
                </c:pt>
                <c:pt idx="48">
                  <c:v>1.6959735976920825E-27</c:v>
                </c:pt>
                <c:pt idx="49">
                  <c:v>1.3447905421548062E-25</c:v>
                </c:pt>
                <c:pt idx="50">
                  <c:v>9.0503001212108976E-24</c:v>
                </c:pt>
                <c:pt idx="51">
                  <c:v>5.2640629388578544E-22</c:v>
                </c:pt>
                <c:pt idx="52">
                  <c:v>2.6018619381338808E-20</c:v>
                </c:pt>
                <c:pt idx="53">
                  <c:v>1.1027761522920654E-18</c:v>
                </c:pt>
                <c:pt idx="54">
                  <c:v>3.969560235116157E-17</c:v>
                </c:pt>
                <c:pt idx="55">
                  <c:v>1.224060648672661E-15</c:v>
                </c:pt>
                <c:pt idx="56">
                  <c:v>3.2268698489675232E-14</c:v>
                </c:pt>
                <c:pt idx="57">
                  <c:v>7.2775629381084241E-13</c:v>
                </c:pt>
                <c:pt idx="58">
                  <c:v>1.3969437546416047E-11</c:v>
                </c:pt>
                <c:pt idx="59">
                  <c:v>2.2995710761961728E-10</c:v>
                </c:pt>
                <c:pt idx="60">
                  <c:v>3.2445914146844613E-9</c:v>
                </c:pt>
                <c:pt idx="61">
                  <c:v>3.8553961472877404E-8</c:v>
                </c:pt>
                <c:pt idx="62">
                  <c:v>3.9746669723254554E-7</c:v>
                </c:pt>
                <c:pt idx="63">
                  <c:v>3.4769632710517827E-6</c:v>
                </c:pt>
                <c:pt idx="64">
                  <c:v>2.5841219287115137E-5</c:v>
                </c:pt>
                <c:pt idx="65">
                  <c:v>1.6504174976819888E-4</c:v>
                </c:pt>
                <c:pt idx="66">
                  <c:v>9.0085802964548001E-4</c:v>
                </c:pt>
                <c:pt idx="67">
                  <c:v>4.2186757117301018E-3</c:v>
                </c:pt>
                <c:pt idx="68">
                  <c:v>1.6742173053118169E-2</c:v>
                </c:pt>
                <c:pt idx="69">
                  <c:v>5.6885100682914642E-2</c:v>
                </c:pt>
                <c:pt idx="70">
                  <c:v>0.16537099517826809</c:v>
                </c:pt>
                <c:pt idx="71">
                  <c:v>0.41083548513601498</c:v>
                </c:pt>
                <c:pt idx="72">
                  <c:v>0.87130135484788784</c:v>
                </c:pt>
                <c:pt idx="73">
                  <c:v>1.5792102201997689</c:v>
                </c:pt>
                <c:pt idx="74">
                  <c:v>2.4431879668941132</c:v>
                </c:pt>
                <c:pt idx="75">
                  <c:v>3.2306194665645473</c:v>
                </c:pt>
                <c:pt idx="76">
                  <c:v>3.6491686595765529</c:v>
                </c:pt>
                <c:pt idx="77">
                  <c:v>3.5218512261807571</c:v>
                </c:pt>
                <c:pt idx="78">
                  <c:v>2.9031056435327827</c:v>
                </c:pt>
                <c:pt idx="79">
                  <c:v>2.0458138004654485</c:v>
                </c:pt>
                <c:pt idx="80">
                  <c:v>1.2311051215823672</c:v>
                </c:pt>
                <c:pt idx="81">
                  <c:v>0.63262837794310522</c:v>
                </c:pt>
                <c:pt idx="82">
                  <c:v>0.27786721670462744</c:v>
                </c:pt>
                <c:pt idx="83">
                  <c:v>0.10427214979558375</c:v>
                </c:pt>
                <c:pt idx="84">
                  <c:v>3.3393341816220251E-2</c:v>
                </c:pt>
                <c:pt idx="85">
                  <c:v>9.1237957438397247E-3</c:v>
                </c:pt>
                <c:pt idx="86">
                  <c:v>2.1486004931884225E-3</c:v>
                </c:pt>
                <c:pt idx="87">
                  <c:v>4.3000976405417168E-4</c:v>
                </c:pt>
                <c:pt idx="88">
                  <c:v>7.3166130844487558E-5</c:v>
                </c:pt>
                <c:pt idx="89">
                  <c:v>1.0605043621477723E-5</c:v>
                </c:pt>
                <c:pt idx="90">
                  <c:v>1.3313384904998322E-6</c:v>
                </c:pt>
                <c:pt idx="91">
                  <c:v>1.4165374180519954E-7</c:v>
                </c:pt>
                <c:pt idx="92">
                  <c:v>1.286169489062342E-8</c:v>
                </c:pt>
                <c:pt idx="93">
                  <c:v>1.0045455912075036E-9</c:v>
                </c:pt>
                <c:pt idx="94">
                  <c:v>6.6519148546643025E-11</c:v>
                </c:pt>
                <c:pt idx="95">
                  <c:v>3.737105061106916E-12</c:v>
                </c:pt>
                <c:pt idx="96">
                  <c:v>1.8252702262928575E-13</c:v>
                </c:pt>
                <c:pt idx="97">
                  <c:v>7.5296780574453655E-15</c:v>
                </c:pt>
                <c:pt idx="98">
                  <c:v>2.6698769640879356E-16</c:v>
                </c:pt>
                <c:pt idx="99">
                  <c:v>8.0465769089093704E-18</c:v>
                </c:pt>
                <c:pt idx="100">
                  <c:v>2.0733523940580251E-19</c:v>
                </c:pt>
                <c:pt idx="101">
                  <c:v>4.570421447489469E-21</c:v>
                </c:pt>
                <c:pt idx="102">
                  <c:v>8.605417787848913E-23</c:v>
                </c:pt>
                <c:pt idx="103">
                  <c:v>1.3850573823790946E-24</c:v>
                </c:pt>
                <c:pt idx="104">
                  <c:v>1.9029020800448322E-26</c:v>
                </c:pt>
                <c:pt idx="105">
                  <c:v>2.2343743283185177E-28</c:v>
                </c:pt>
                <c:pt idx="106">
                  <c:v>2.2415181889424874E-30</c:v>
                </c:pt>
                <c:pt idx="107">
                  <c:v>1.9200520202929757E-32</c:v>
                </c:pt>
                <c:pt idx="108">
                  <c:v>1.406029505225002E-34</c:v>
                </c:pt>
                <c:pt idx="109">
                  <c:v>8.8082154863727119E-37</c:v>
                </c:pt>
                <c:pt idx="110">
                  <c:v>4.6999170180345303E-39</c:v>
                </c:pt>
                <c:pt idx="111">
                  <c:v>2.1477685835456634E-41</c:v>
                </c:pt>
                <c:pt idx="112">
                  <c:v>8.3553258327289531E-44</c:v>
                </c:pt>
                <c:pt idx="113">
                  <c:v>2.7879995742558438E-46</c:v>
                </c:pt>
                <c:pt idx="114">
                  <c:v>7.9346030993515733E-49</c:v>
                </c:pt>
                <c:pt idx="115">
                  <c:v>1.92567920229595E-51</c:v>
                </c:pt>
                <c:pt idx="116">
                  <c:v>4.0018793211644285E-54</c:v>
                </c:pt>
              </c:numCache>
            </c:numRef>
          </c:yVal>
          <c:smooth val="1"/>
        </c:ser>
        <c:ser>
          <c:idx val="5"/>
          <c:order val="5"/>
          <c:tx>
            <c:v>Moda 4</c:v>
          </c:tx>
          <c:spPr>
            <a:ln w="19050"/>
          </c:spPr>
          <c:marker>
            <c:symbol val="none"/>
          </c:marker>
          <c:xVal>
            <c:numRef>
              <c:f>Normal!$A$2:$A$118</c:f>
              <c:numCache>
                <c:formatCode>General</c:formatCode>
                <c:ptCount val="117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  <c:pt idx="100">
                  <c:v>449.66</c:v>
                </c:pt>
                <c:pt idx="101">
                  <c:v>493.62</c:v>
                </c:pt>
                <c:pt idx="102">
                  <c:v>541.88</c:v>
                </c:pt>
                <c:pt idx="103">
                  <c:v>594.85</c:v>
                </c:pt>
                <c:pt idx="104">
                  <c:v>653.01</c:v>
                </c:pt>
                <c:pt idx="105">
                  <c:v>716.85</c:v>
                </c:pt>
                <c:pt idx="106">
                  <c:v>786.93</c:v>
                </c:pt>
                <c:pt idx="107">
                  <c:v>863.87</c:v>
                </c:pt>
                <c:pt idx="108">
                  <c:v>948.32</c:v>
                </c:pt>
                <c:pt idx="109">
                  <c:v>1041</c:v>
                </c:pt>
                <c:pt idx="110">
                  <c:v>1142.8</c:v>
                </c:pt>
                <c:pt idx="111">
                  <c:v>1254.5</c:v>
                </c:pt>
                <c:pt idx="112">
                  <c:v>1377.2</c:v>
                </c:pt>
                <c:pt idx="113">
                  <c:v>1511.8</c:v>
                </c:pt>
                <c:pt idx="114">
                  <c:v>1659.6</c:v>
                </c:pt>
                <c:pt idx="115">
                  <c:v>1821.9</c:v>
                </c:pt>
                <c:pt idx="116">
                  <c:v>2000</c:v>
                </c:pt>
              </c:numCache>
            </c:numRef>
          </c:xVal>
          <c:yVal>
            <c:numRef>
              <c:f>Normal!$H$2:$H$118</c:f>
              <c:numCache>
                <c:formatCode>General</c:formatCode>
                <c:ptCount val="117"/>
                <c:pt idx="0">
                  <c:v>1.446772437229105E-28</c:v>
                </c:pt>
                <c:pt idx="1">
                  <c:v>9.5923931687261321E-28</c:v>
                </c:pt>
                <c:pt idx="2">
                  <c:v>5.2630811388351909E-27</c:v>
                </c:pt>
                <c:pt idx="3">
                  <c:v>3.5544505185890384E-26</c:v>
                </c:pt>
                <c:pt idx="4">
                  <c:v>1.9677880914584941E-25</c:v>
                </c:pt>
                <c:pt idx="5">
                  <c:v>1.2388474141344973E-24</c:v>
                </c:pt>
                <c:pt idx="6">
                  <c:v>6.4424915953195204E-24</c:v>
                </c:pt>
                <c:pt idx="7">
                  <c:v>3.6203580434125623E-23</c:v>
                </c:pt>
                <c:pt idx="8">
                  <c:v>1.7080076165818257E-22</c:v>
                </c:pt>
                <c:pt idx="9">
                  <c:v>1.0178056876983647E-21</c:v>
                </c:pt>
                <c:pt idx="10">
                  <c:v>5.0015187479884807E-21</c:v>
                </c:pt>
                <c:pt idx="11">
                  <c:v>2.4403959352844151E-20</c:v>
                </c:pt>
                <c:pt idx="12">
                  <c:v>1.0153102931279344E-19</c:v>
                </c:pt>
                <c:pt idx="13">
                  <c:v>4.7257525163775607E-19</c:v>
                </c:pt>
                <c:pt idx="14">
                  <c:v>2.338577588514583E-18</c:v>
                </c:pt>
                <c:pt idx="15">
                  <c:v>9.7514004571216559E-18</c:v>
                </c:pt>
                <c:pt idx="16">
                  <c:v>4.203098130593619E-17</c:v>
                </c:pt>
                <c:pt idx="17">
                  <c:v>1.6852668540897515E-16</c:v>
                </c:pt>
                <c:pt idx="18">
                  <c:v>6.7588996989221067E-16</c:v>
                </c:pt>
                <c:pt idx="19">
                  <c:v>2.6633574584439735E-15</c:v>
                </c:pt>
                <c:pt idx="20">
                  <c:v>1.0179554957512258E-14</c:v>
                </c:pt>
                <c:pt idx="21">
                  <c:v>3.9287198263988744E-14</c:v>
                </c:pt>
                <c:pt idx="22">
                  <c:v>1.372800414658796E-13</c:v>
                </c:pt>
                <c:pt idx="23">
                  <c:v>4.9453478840369093E-13</c:v>
                </c:pt>
                <c:pt idx="24">
                  <c:v>1.6679264993862146E-12</c:v>
                </c:pt>
                <c:pt idx="25">
                  <c:v>5.6197751635571382E-12</c:v>
                </c:pt>
                <c:pt idx="26">
                  <c:v>1.8094401508125967E-11</c:v>
                </c:pt>
                <c:pt idx="27">
                  <c:v>5.6891929886846125E-11</c:v>
                </c:pt>
                <c:pt idx="28">
                  <c:v>1.7690358859253461E-10</c:v>
                </c:pt>
                <c:pt idx="29">
                  <c:v>5.2648841093095214E-10</c:v>
                </c:pt>
                <c:pt idx="30">
                  <c:v>1.521553372876675E-9</c:v>
                </c:pt>
                <c:pt idx="31">
                  <c:v>4.3730801282769901E-9</c:v>
                </c:pt>
                <c:pt idx="32">
                  <c:v>1.1988967545859206E-8</c:v>
                </c:pt>
                <c:pt idx="33">
                  <c:v>3.2083390242512774E-8</c:v>
                </c:pt>
                <c:pt idx="34">
                  <c:v>8.4041669479878969E-8</c:v>
                </c:pt>
                <c:pt idx="35">
                  <c:v>2.1563805212483126E-7</c:v>
                </c:pt>
                <c:pt idx="36">
                  <c:v>5.3264276071727797E-7</c:v>
                </c:pt>
                <c:pt idx="37">
                  <c:v>1.2814748420666259E-6</c:v>
                </c:pt>
                <c:pt idx="38">
                  <c:v>3.0030801222929969E-6</c:v>
                </c:pt>
                <c:pt idx="39">
                  <c:v>6.8905681606557274E-6</c:v>
                </c:pt>
                <c:pt idx="40">
                  <c:v>1.5279876848567144E-5</c:v>
                </c:pt>
                <c:pt idx="41">
                  <c:v>3.3222011740844348E-5</c:v>
                </c:pt>
                <c:pt idx="42">
                  <c:v>6.9981329977282281E-5</c:v>
                </c:pt>
                <c:pt idx="43">
                  <c:v>1.4325392732060161E-4</c:v>
                </c:pt>
                <c:pt idx="44">
                  <c:v>2.8625420838393419E-4</c:v>
                </c:pt>
                <c:pt idx="45">
                  <c:v>5.5654029795460924E-4</c:v>
                </c:pt>
                <c:pt idx="46">
                  <c:v>1.0527683697559248E-3</c:v>
                </c:pt>
                <c:pt idx="47">
                  <c:v>1.9368595819770102E-3</c:v>
                </c:pt>
                <c:pt idx="48">
                  <c:v>3.4759728348292612E-3</c:v>
                </c:pt>
                <c:pt idx="49">
                  <c:v>6.0644408216134899E-3</c:v>
                </c:pt>
                <c:pt idx="50">
                  <c:v>1.0290458289097176E-2</c:v>
                </c:pt>
                <c:pt idx="51">
                  <c:v>1.7021278783254448E-2</c:v>
                </c:pt>
                <c:pt idx="52">
                  <c:v>2.7387115333630654E-2</c:v>
                </c:pt>
                <c:pt idx="53">
                  <c:v>4.291195672914689E-2</c:v>
                </c:pt>
                <c:pt idx="54">
                  <c:v>6.5401766812575132E-2</c:v>
                </c:pt>
                <c:pt idx="55">
                  <c:v>9.7056795036271168E-2</c:v>
                </c:pt>
                <c:pt idx="56">
                  <c:v>0.14021032473557965</c:v>
                </c:pt>
                <c:pt idx="57">
                  <c:v>0.19718870757091497</c:v>
                </c:pt>
                <c:pt idx="58">
                  <c:v>0.26983105147844266</c:v>
                </c:pt>
                <c:pt idx="59">
                  <c:v>0.35954873824962275</c:v>
                </c:pt>
                <c:pt idx="60">
                  <c:v>0.46648405030712758</c:v>
                </c:pt>
                <c:pt idx="61">
                  <c:v>0.58831325916243526</c:v>
                </c:pt>
                <c:pt idx="62">
                  <c:v>0.72323516401096521</c:v>
                </c:pt>
                <c:pt idx="63">
                  <c:v>0.86489768431451075</c:v>
                </c:pt>
                <c:pt idx="64">
                  <c:v>1.0063775111016728</c:v>
                </c:pt>
                <c:pt idx="65">
                  <c:v>1.1403618709501044</c:v>
                </c:pt>
                <c:pt idx="66">
                  <c:v>1.2578146608551528</c:v>
                </c:pt>
                <c:pt idx="67">
                  <c:v>1.350648334688356</c:v>
                </c:pt>
                <c:pt idx="68">
                  <c:v>1.4112524273942171</c:v>
                </c:pt>
                <c:pt idx="69">
                  <c:v>1.4355033727350268</c:v>
                </c:pt>
                <c:pt idx="70">
                  <c:v>1.4213345111842313</c:v>
                </c:pt>
                <c:pt idx="71">
                  <c:v>1.3697890738427296</c:v>
                </c:pt>
                <c:pt idx="72">
                  <c:v>1.2849906118335317</c:v>
                </c:pt>
                <c:pt idx="73">
                  <c:v>1.1732579545705391</c:v>
                </c:pt>
                <c:pt idx="74">
                  <c:v>1.0429030418320151</c:v>
                </c:pt>
                <c:pt idx="75">
                  <c:v>0.9022469207450442</c:v>
                </c:pt>
                <c:pt idx="76">
                  <c:v>0.75978695990974665</c:v>
                </c:pt>
                <c:pt idx="77">
                  <c:v>0.62298750405726211</c:v>
                </c:pt>
                <c:pt idx="78">
                  <c:v>0.49696916158016047</c:v>
                </c:pt>
                <c:pt idx="79">
                  <c:v>0.38611141336441818</c:v>
                </c:pt>
                <c:pt idx="80">
                  <c:v>0.29189474367817886</c:v>
                </c:pt>
                <c:pt idx="81">
                  <c:v>0.21475659743719086</c:v>
                </c:pt>
                <c:pt idx="82">
                  <c:v>0.15383486162372514</c:v>
                </c:pt>
                <c:pt idx="83">
                  <c:v>0.10726381225918685</c:v>
                </c:pt>
                <c:pt idx="84">
                  <c:v>7.2775018081254278E-2</c:v>
                </c:pt>
                <c:pt idx="85">
                  <c:v>4.8042479727649988E-2</c:v>
                </c:pt>
                <c:pt idx="86">
                  <c:v>3.095444760139195E-2</c:v>
                </c:pt>
                <c:pt idx="87">
                  <c:v>1.9381389779907068E-2</c:v>
                </c:pt>
                <c:pt idx="88">
                  <c:v>1.1796178541636089E-2</c:v>
                </c:pt>
                <c:pt idx="89">
                  <c:v>6.9835567842900757E-3</c:v>
                </c:pt>
                <c:pt idx="90">
                  <c:v>4.0391236826785425E-3</c:v>
                </c:pt>
                <c:pt idx="91">
                  <c:v>2.2691455767724915E-3</c:v>
                </c:pt>
                <c:pt idx="92">
                  <c:v>1.240520698343467E-3</c:v>
                </c:pt>
                <c:pt idx="93">
                  <c:v>6.6125176421448148E-4</c:v>
                </c:pt>
                <c:pt idx="94">
                  <c:v>3.4245169254432535E-4</c:v>
                </c:pt>
                <c:pt idx="95">
                  <c:v>1.7235086766198568E-4</c:v>
                </c:pt>
                <c:pt idx="96">
                  <c:v>8.4783145499960934E-5</c:v>
                </c:pt>
                <c:pt idx="97">
                  <c:v>4.0487891889631879E-5</c:v>
                </c:pt>
                <c:pt idx="98">
                  <c:v>1.8846725170006372E-5</c:v>
                </c:pt>
                <c:pt idx="99">
                  <c:v>8.5295571883277735E-6</c:v>
                </c:pt>
                <c:pt idx="100">
                  <c:v>3.7581859876529582E-6</c:v>
                </c:pt>
                <c:pt idx="101">
                  <c:v>1.6123164348261321E-6</c:v>
                </c:pt>
                <c:pt idx="102">
                  <c:v>6.7326801344102135E-7</c:v>
                </c:pt>
                <c:pt idx="103">
                  <c:v>2.7369524911162882E-7</c:v>
                </c:pt>
                <c:pt idx="104">
                  <c:v>1.0828084053232849E-7</c:v>
                </c:pt>
                <c:pt idx="105">
                  <c:v>4.1702095044891084E-8</c:v>
                </c:pt>
                <c:pt idx="106">
                  <c:v>1.5633442340436799E-8</c:v>
                </c:pt>
                <c:pt idx="107">
                  <c:v>5.7040890654019214E-9</c:v>
                </c:pt>
                <c:pt idx="108">
                  <c:v>2.0261158229252229E-9</c:v>
                </c:pt>
                <c:pt idx="109">
                  <c:v>7.0072938628465685E-10</c:v>
                </c:pt>
                <c:pt idx="110">
                  <c:v>2.3574764964506379E-10</c:v>
                </c:pt>
                <c:pt idx="111">
                  <c:v>7.7241828304469666E-11</c:v>
                </c:pt>
                <c:pt idx="112">
                  <c:v>2.4616406447076113E-11</c:v>
                </c:pt>
                <c:pt idx="113">
                  <c:v>7.6425494107936864E-12</c:v>
                </c:pt>
                <c:pt idx="114">
                  <c:v>2.308815937197455E-12</c:v>
                </c:pt>
                <c:pt idx="115">
                  <c:v>6.7867849285579335E-13</c:v>
                </c:pt>
                <c:pt idx="116">
                  <c:v>1.9427964534354109E-13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124480"/>
        <c:axId val="371724288"/>
      </c:scatterChart>
      <c:valAx>
        <c:axId val="371124480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724288"/>
        <c:crosses val="autoZero"/>
        <c:crossBetween val="midCat"/>
      </c:valAx>
      <c:valAx>
        <c:axId val="37172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1244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Weibull!$B$2:$B$101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1"/>
          <c:tx>
            <c:v>Weibull 1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Weibull!$C$2:$C$101</c:f>
              <c:numCache>
                <c:formatCode>General</c:formatCode>
                <c:ptCount val="100"/>
                <c:pt idx="0">
                  <c:v>1.2441916245172612E-2</c:v>
                </c:pt>
                <c:pt idx="1">
                  <c:v>1.3661526354126416E-2</c:v>
                </c:pt>
                <c:pt idx="2">
                  <c:v>1.4879039559692117E-2</c:v>
                </c:pt>
                <c:pt idx="3">
                  <c:v>1.639824955093E-2</c:v>
                </c:pt>
                <c:pt idx="4">
                  <c:v>1.7914745025568724E-2</c:v>
                </c:pt>
                <c:pt idx="5">
                  <c:v>1.9731286915105742E-2</c:v>
                </c:pt>
                <c:pt idx="6">
                  <c:v>2.154459682448516E-2</c:v>
                </c:pt>
                <c:pt idx="7">
                  <c:v>2.3656409892891458E-2</c:v>
                </c:pt>
                <c:pt idx="8">
                  <c:v>2.576456928382018E-2</c:v>
                </c:pt>
                <c:pt idx="9">
                  <c:v>2.8470176264657216E-2</c:v>
                </c:pt>
                <c:pt idx="10">
                  <c:v>3.1170778556614844E-2</c:v>
                </c:pt>
                <c:pt idx="11">
                  <c:v>3.4166108875707729E-2</c:v>
                </c:pt>
                <c:pt idx="12">
                  <c:v>3.7156297479048583E-2</c:v>
                </c:pt>
                <c:pt idx="13">
                  <c:v>4.0738314019179767E-2</c:v>
                </c:pt>
                <c:pt idx="14">
                  <c:v>4.49095101301977E-2</c:v>
                </c:pt>
                <c:pt idx="15">
                  <c:v>4.9073011233935107E-2</c:v>
                </c:pt>
                <c:pt idx="16">
                  <c:v>5.3822683329392038E-2</c:v>
                </c:pt>
                <c:pt idx="17">
                  <c:v>5.8859969538673319E-2</c:v>
                </c:pt>
                <c:pt idx="18">
                  <c:v>6.4479530566899909E-2</c:v>
                </c:pt>
                <c:pt idx="19">
                  <c:v>7.0678931932374428E-2</c:v>
                </c:pt>
                <c:pt idx="20">
                  <c:v>7.7455771292463893E-2</c:v>
                </c:pt>
                <c:pt idx="21">
                  <c:v>8.5101462385480039E-2</c:v>
                </c:pt>
                <c:pt idx="22">
                  <c:v>9.3025521332567446E-2</c:v>
                </c:pt>
                <c:pt idx="23">
                  <c:v>0.10210518847213977</c:v>
                </c:pt>
                <c:pt idx="24">
                  <c:v>0.11175054124928109</c:v>
                </c:pt>
                <c:pt idx="25">
                  <c:v>0.12254193051636163</c:v>
                </c:pt>
                <c:pt idx="26">
                  <c:v>0.13418241733615571</c:v>
                </c:pt>
                <c:pt idx="27">
                  <c:v>0.14695753313766138</c:v>
                </c:pt>
                <c:pt idx="28">
                  <c:v>0.16114979395793569</c:v>
                </c:pt>
                <c:pt idx="29">
                  <c:v>0.17646125251532641</c:v>
                </c:pt>
                <c:pt idx="30">
                  <c:v>0.19317188912184491</c:v>
                </c:pt>
                <c:pt idx="31">
                  <c:v>0.21184453567126141</c:v>
                </c:pt>
                <c:pt idx="32">
                  <c:v>0.23188995229797305</c:v>
                </c:pt>
                <c:pt idx="33">
                  <c:v>0.25386451004482102</c:v>
                </c:pt>
                <c:pt idx="34">
                  <c:v>0.27803056748067212</c:v>
                </c:pt>
                <c:pt idx="35">
                  <c:v>0.30464275122792095</c:v>
                </c:pt>
                <c:pt idx="36">
                  <c:v>0.33338399897738291</c:v>
                </c:pt>
                <c:pt idx="37">
                  <c:v>0.36477652435616426</c:v>
                </c:pt>
                <c:pt idx="38">
                  <c:v>0.39904544880677323</c:v>
                </c:pt>
                <c:pt idx="39">
                  <c:v>0.43667499322713005</c:v>
                </c:pt>
                <c:pt idx="40">
                  <c:v>0.47729955281130604</c:v>
                </c:pt>
                <c:pt idx="41">
                  <c:v>0.52190071623331724</c:v>
                </c:pt>
                <c:pt idx="42">
                  <c:v>0.57005635541506805</c:v>
                </c:pt>
                <c:pt idx="43">
                  <c:v>0.62212093099704291</c:v>
                </c:pt>
                <c:pt idx="44">
                  <c:v>0.67864484201239783</c:v>
                </c:pt>
                <c:pt idx="45">
                  <c:v>0.73956961863238435</c:v>
                </c:pt>
                <c:pt idx="46">
                  <c:v>0.80500418561470966</c:v>
                </c:pt>
                <c:pt idx="47">
                  <c:v>0.87493386726773226</c:v>
                </c:pt>
                <c:pt idx="48">
                  <c:v>0.94966091446355594</c:v>
                </c:pt>
                <c:pt idx="49">
                  <c:v>1.0285571722400733</c:v>
                </c:pt>
                <c:pt idx="50">
                  <c:v>1.111231145384157</c:v>
                </c:pt>
                <c:pt idx="51">
                  <c:v>1.1973801578642562</c:v>
                </c:pt>
                <c:pt idx="52">
                  <c:v>1.2856554741498796</c:v>
                </c:pt>
                <c:pt idx="53">
                  <c:v>1.3748344956694851</c:v>
                </c:pt>
                <c:pt idx="54">
                  <c:v>1.4627526177001746</c:v>
                </c:pt>
                <c:pt idx="55">
                  <c:v>1.5470841656237126</c:v>
                </c:pt>
                <c:pt idx="56">
                  <c:v>1.6245590214201058</c:v>
                </c:pt>
                <c:pt idx="57">
                  <c:v>1.6912296812045093</c:v>
                </c:pt>
                <c:pt idx="58">
                  <c:v>1.7423147816282565</c:v>
                </c:pt>
                <c:pt idx="59">
                  <c:v>1.7726407475962254</c:v>
                </c:pt>
                <c:pt idx="60">
                  <c:v>1.7764514396876334</c:v>
                </c:pt>
                <c:pt idx="61">
                  <c:v>1.748384470440894</c:v>
                </c:pt>
                <c:pt idx="62">
                  <c:v>1.6833554911722193</c:v>
                </c:pt>
                <c:pt idx="63">
                  <c:v>1.5788625841897936</c:v>
                </c:pt>
                <c:pt idx="64">
                  <c:v>1.435279473530167</c:v>
                </c:pt>
                <c:pt idx="65">
                  <c:v>1.2558596169550003</c:v>
                </c:pt>
                <c:pt idx="66">
                  <c:v>1.0497504041087917</c:v>
                </c:pt>
                <c:pt idx="67">
                  <c:v>0.829874832359909</c:v>
                </c:pt>
                <c:pt idx="68">
                  <c:v>0.61492363623922752</c:v>
                </c:pt>
                <c:pt idx="69">
                  <c:v>0.420729932555997</c:v>
                </c:pt>
                <c:pt idx="70">
                  <c:v>0.26147468001752056</c:v>
                </c:pt>
                <c:pt idx="71">
                  <c:v>0.14477753575387628</c:v>
                </c:pt>
                <c:pt idx="72">
                  <c:v>6.9821946499936047E-2</c:v>
                </c:pt>
                <c:pt idx="73">
                  <c:v>2.848407603281641E-2</c:v>
                </c:pt>
                <c:pt idx="74">
                  <c:v>9.5253657683180074E-3</c:v>
                </c:pt>
                <c:pt idx="75">
                  <c:v>2.5002001652670329E-3</c:v>
                </c:pt>
                <c:pt idx="76">
                  <c:v>4.9105374230991783E-4</c:v>
                </c:pt>
                <c:pt idx="77">
                  <c:v>6.8260226173787612E-5</c:v>
                </c:pt>
                <c:pt idx="78">
                  <c:v>6.204465793946148E-6</c:v>
                </c:pt>
                <c:pt idx="79">
                  <c:v>3.4261864346684177E-7</c:v>
                </c:pt>
                <c:pt idx="80">
                  <c:v>1.0268682336180311E-8</c:v>
                </c:pt>
                <c:pt idx="81">
                  <c:v>1.4786071860636339E-10</c:v>
                </c:pt>
                <c:pt idx="82">
                  <c:v>8.8712456570067993E-13</c:v>
                </c:pt>
                <c:pt idx="83">
                  <c:v>1.8501853645361149E-15</c:v>
                </c:pt>
                <c:pt idx="84">
                  <c:v>1.0744337478824529E-18</c:v>
                </c:pt>
                <c:pt idx="85">
                  <c:v>1.3372841439941844E-22</c:v>
                </c:pt>
                <c:pt idx="86">
                  <c:v>2.8229337500397392E-27</c:v>
                </c:pt>
                <c:pt idx="87">
                  <c:v>6.2877268673162908E-33</c:v>
                </c:pt>
                <c:pt idx="88">
                  <c:v>9.3628379499219622E-40</c:v>
                </c:pt>
                <c:pt idx="89">
                  <c:v>5.4635397081123672E-48</c:v>
                </c:pt>
                <c:pt idx="90">
                  <c:v>7.8007880997568312E-58</c:v>
                </c:pt>
                <c:pt idx="91">
                  <c:v>9.9403743100625681E-70</c:v>
                </c:pt>
                <c:pt idx="92">
                  <c:v>4.7108244050242154E-84</c:v>
                </c:pt>
                <c:pt idx="93">
                  <c:v>3.0336179421444015E-101</c:v>
                </c:pt>
                <c:pt idx="94">
                  <c:v>5.4209149449406159E-122</c:v>
                </c:pt>
                <c:pt idx="95">
                  <c:v>5.0258992663246905E-147</c:v>
                </c:pt>
                <c:pt idx="96">
                  <c:v>5.7185799231940291E-177</c:v>
                </c:pt>
                <c:pt idx="97">
                  <c:v>3.9547996430433114E-213</c:v>
                </c:pt>
                <c:pt idx="98">
                  <c:v>1.4816995751351863E-256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v>Weibull 2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Weibull!$E$2:$E$101</c:f>
              <c:numCache>
                <c:formatCode>General</c:formatCode>
                <c:ptCount val="100"/>
                <c:pt idx="0">
                  <c:v>9.1697192449751721E-4</c:v>
                </c:pt>
                <c:pt idx="1">
                  <c:v>8.3367015551794586E-4</c:v>
                </c:pt>
                <c:pt idx="2">
                  <c:v>7.6424672261460748E-4</c:v>
                </c:pt>
                <c:pt idx="3">
                  <c:v>6.9219800796109271E-4</c:v>
                </c:pt>
                <c:pt idx="4">
                  <c:v>6.3256686315646545E-4</c:v>
                </c:pt>
                <c:pt idx="5">
                  <c:v>5.7330389729063594E-4</c:v>
                </c:pt>
                <c:pt idx="6">
                  <c:v>5.241965946008346E-4</c:v>
                </c:pt>
                <c:pt idx="7">
                  <c:v>4.7657390806092522E-4</c:v>
                </c:pt>
                <c:pt idx="8">
                  <c:v>4.3688549687533626E-4</c:v>
                </c:pt>
                <c:pt idx="9">
                  <c:v>3.9463346001500843E-4</c:v>
                </c:pt>
                <c:pt idx="10">
                  <c:v>3.5983507241035427E-4</c:v>
                </c:pt>
                <c:pt idx="11">
                  <c:v>3.2772715727841738E-4</c:v>
                </c:pt>
                <c:pt idx="12">
                  <c:v>3.0088103224297562E-4</c:v>
                </c:pt>
                <c:pt idx="13">
                  <c:v>2.7395298372524183E-4</c:v>
                </c:pt>
                <c:pt idx="14">
                  <c:v>2.480541345514944E-4</c:v>
                </c:pt>
                <c:pt idx="15">
                  <c:v>2.2663015740195748E-4</c:v>
                </c:pt>
                <c:pt idx="16">
                  <c:v>2.0627087936593954E-4</c:v>
                </c:pt>
                <c:pt idx="17">
                  <c:v>1.8829872461325402E-4</c:v>
                </c:pt>
                <c:pt idx="18">
                  <c:v>1.7159016781568626E-4</c:v>
                </c:pt>
                <c:pt idx="19">
                  <c:v>1.5626521020465091E-4</c:v>
                </c:pt>
                <c:pt idx="20">
                  <c:v>1.4234231671353916E-4</c:v>
                </c:pt>
                <c:pt idx="21">
                  <c:v>1.293180846599717E-4</c:v>
                </c:pt>
                <c:pt idx="22">
                  <c:v>1.1809715711124493E-4</c:v>
                </c:pt>
                <c:pt idx="23">
                  <c:v>1.0739810550834156E-4</c:v>
                </c:pt>
                <c:pt idx="24">
                  <c:v>9.7951998242043427E-5</c:v>
                </c:pt>
                <c:pt idx="25">
                  <c:v>8.9159844662419386E-5</c:v>
                </c:pt>
                <c:pt idx="26">
                  <c:v>8.1273571411470907E-5</c:v>
                </c:pt>
                <c:pt idx="27">
                  <c:v>7.4067393547989736E-5</c:v>
                </c:pt>
                <c:pt idx="28">
                  <c:v>6.7411366267016467E-5</c:v>
                </c:pt>
                <c:pt idx="29">
                  <c:v>6.1439641284526464E-5</c:v>
                </c:pt>
                <c:pt idx="30">
                  <c:v>5.6010033767990263E-5</c:v>
                </c:pt>
                <c:pt idx="31">
                  <c:v>5.0962916195837951E-5</c:v>
                </c:pt>
                <c:pt idx="32">
                  <c:v>4.6454968880096987E-5</c:v>
                </c:pt>
                <c:pt idx="33">
                  <c:v>4.2335797447965226E-5</c:v>
                </c:pt>
                <c:pt idx="34">
                  <c:v>3.8561429823035514E-5</c:v>
                </c:pt>
                <c:pt idx="35">
                  <c:v>3.5100852956838365E-5</c:v>
                </c:pt>
                <c:pt idx="36">
                  <c:v>3.1986157327968722E-5</c:v>
                </c:pt>
                <c:pt idx="37">
                  <c:v>2.9146365549088753E-5</c:v>
                </c:pt>
                <c:pt idx="38">
                  <c:v>2.6557087917007652E-5</c:v>
                </c:pt>
                <c:pt idx="39">
                  <c:v>2.41818630544442E-5</c:v>
                </c:pt>
                <c:pt idx="40">
                  <c:v>2.2037057006645819E-5</c:v>
                </c:pt>
                <c:pt idx="41">
                  <c:v>2.0065050421783761E-5</c:v>
                </c:pt>
                <c:pt idx="42">
                  <c:v>1.8279709000641202E-5</c:v>
                </c:pt>
                <c:pt idx="43">
                  <c:v>1.6656902359851514E-5</c:v>
                </c:pt>
                <c:pt idx="44">
                  <c:v>1.5172532643898378E-5</c:v>
                </c:pt>
                <c:pt idx="45">
                  <c:v>1.3821157200787723E-5</c:v>
                </c:pt>
                <c:pt idx="46">
                  <c:v>1.2590917150987843E-5</c:v>
                </c:pt>
                <c:pt idx="47">
                  <c:v>1.1471652286926823E-5</c:v>
                </c:pt>
                <c:pt idx="48">
                  <c:v>1.0448362133830905E-5</c:v>
                </c:pt>
                <c:pt idx="49">
                  <c:v>9.5182225660438531E-6</c:v>
                </c:pt>
                <c:pt idx="50">
                  <c:v>8.6721624006127018E-6</c:v>
                </c:pt>
                <c:pt idx="51">
                  <c:v>7.8992514249666144E-6</c:v>
                </c:pt>
                <c:pt idx="52">
                  <c:v>7.1960919411658193E-6</c:v>
                </c:pt>
                <c:pt idx="53">
                  <c:v>6.5549044933083588E-6</c:v>
                </c:pt>
                <c:pt idx="54">
                  <c:v>5.9717385471191497E-6</c:v>
                </c:pt>
                <c:pt idx="55">
                  <c:v>5.4400720956689061E-6</c:v>
                </c:pt>
                <c:pt idx="56">
                  <c:v>4.9556364133865853E-6</c:v>
                </c:pt>
                <c:pt idx="57">
                  <c:v>4.5141325049904592E-6</c:v>
                </c:pt>
                <c:pt idx="58">
                  <c:v>4.1124303906305162E-6</c:v>
                </c:pt>
                <c:pt idx="59">
                  <c:v>3.746003494571596E-6</c:v>
                </c:pt>
                <c:pt idx="60">
                  <c:v>3.4117838006234063E-6</c:v>
                </c:pt>
                <c:pt idx="61">
                  <c:v>3.1090245932806114E-6</c:v>
                </c:pt>
                <c:pt idx="62">
                  <c:v>2.8314446340251234E-6</c:v>
                </c:pt>
                <c:pt idx="63">
                  <c:v>2.5793223900683667E-6</c:v>
                </c:pt>
                <c:pt idx="64">
                  <c:v>2.3502732017905188E-6</c:v>
                </c:pt>
                <c:pt idx="65">
                  <c:v>2.14100025444758E-6</c:v>
                </c:pt>
                <c:pt idx="66">
                  <c:v>1.9503161097909747E-6</c:v>
                </c:pt>
                <c:pt idx="67">
                  <c:v>1.776123098688092E-6</c:v>
                </c:pt>
                <c:pt idx="68">
                  <c:v>1.6183027944962031E-6</c:v>
                </c:pt>
                <c:pt idx="69">
                  <c:v>1.4743288524631526E-6</c:v>
                </c:pt>
                <c:pt idx="70">
                  <c:v>1.3430068001975385E-6</c:v>
                </c:pt>
                <c:pt idx="71">
                  <c:v>1.2233247832460284E-6</c:v>
                </c:pt>
                <c:pt idx="72">
                  <c:v>1.1143824375622251E-6</c:v>
                </c:pt>
                <c:pt idx="73">
                  <c:v>1.0150695610910781E-6</c:v>
                </c:pt>
                <c:pt idx="74">
                  <c:v>9.2474724191319222E-7</c:v>
                </c:pt>
                <c:pt idx="75">
                  <c:v>8.4238008460716046E-7</c:v>
                </c:pt>
                <c:pt idx="76">
                  <c:v>7.6735501720542639E-7</c:v>
                </c:pt>
                <c:pt idx="77">
                  <c:v>6.9911114867728532E-7</c:v>
                </c:pt>
                <c:pt idx="78">
                  <c:v>6.367911803261338E-7</c:v>
                </c:pt>
                <c:pt idx="79">
                  <c:v>5.8015442474630593E-7</c:v>
                </c:pt>
                <c:pt idx="80">
                  <c:v>5.2848335077912987E-7</c:v>
                </c:pt>
                <c:pt idx="81">
                  <c:v>4.8139005711037262E-7</c:v>
                </c:pt>
                <c:pt idx="82">
                  <c:v>4.3852542937511377E-7</c:v>
                </c:pt>
                <c:pt idx="83">
                  <c:v>3.9947808045292069E-7</c:v>
                </c:pt>
                <c:pt idx="84">
                  <c:v>3.6387678143821585E-7</c:v>
                </c:pt>
                <c:pt idx="85">
                  <c:v>3.31422672800633E-7</c:v>
                </c:pt>
                <c:pt idx="86">
                  <c:v>3.0203496769268849E-7</c:v>
                </c:pt>
                <c:pt idx="87">
                  <c:v>2.7515160245351829E-7</c:v>
                </c:pt>
                <c:pt idx="88">
                  <c:v>2.5059705033304353E-7</c:v>
                </c:pt>
                <c:pt idx="89">
                  <c:v>2.2821024983030294E-7</c:v>
                </c:pt>
                <c:pt idx="90">
                  <c:v>2.0795537911870591E-7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</c:numCache>
            </c:numRef>
          </c:yVal>
          <c:smooth val="1"/>
        </c:ser>
        <c:ser>
          <c:idx val="4"/>
          <c:order val="3"/>
          <c:tx>
            <c:v>W sin C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Weibull!$H$2:$H$101</c:f>
              <c:numCache>
                <c:formatCode>General</c:formatCode>
                <c:ptCount val="100"/>
                <c:pt idx="0">
                  <c:v>1.335888816967013E-2</c:v>
                </c:pt>
                <c:pt idx="1">
                  <c:v>1.4495196509644362E-2</c:v>
                </c:pt>
                <c:pt idx="2">
                  <c:v>1.5643286282306726E-2</c:v>
                </c:pt>
                <c:pt idx="3">
                  <c:v>1.7090447558891091E-2</c:v>
                </c:pt>
                <c:pt idx="4">
                  <c:v>1.8547311888725188E-2</c:v>
                </c:pt>
                <c:pt idx="5">
                  <c:v>2.0304590812396377E-2</c:v>
                </c:pt>
                <c:pt idx="6">
                  <c:v>2.2068793419085995E-2</c:v>
                </c:pt>
                <c:pt idx="7">
                  <c:v>2.4132983800952384E-2</c:v>
                </c:pt>
                <c:pt idx="8">
                  <c:v>2.6201454780695518E-2</c:v>
                </c:pt>
                <c:pt idx="9">
                  <c:v>2.8864809724672223E-2</c:v>
                </c:pt>
                <c:pt idx="10">
                  <c:v>3.1530613629025199E-2</c:v>
                </c:pt>
                <c:pt idx="11">
                  <c:v>3.4493836032986148E-2</c:v>
                </c:pt>
                <c:pt idx="12">
                  <c:v>3.7457178511291558E-2</c:v>
                </c:pt>
                <c:pt idx="13">
                  <c:v>4.1012267002905008E-2</c:v>
                </c:pt>
                <c:pt idx="14">
                  <c:v>4.5157564264749192E-2</c:v>
                </c:pt>
                <c:pt idx="15">
                  <c:v>4.9299641391337065E-2</c:v>
                </c:pt>
                <c:pt idx="16">
                  <c:v>5.402895420875798E-2</c:v>
                </c:pt>
                <c:pt idx="17">
                  <c:v>5.9048268263286574E-2</c:v>
                </c:pt>
                <c:pt idx="18">
                  <c:v>6.46511207347156E-2</c:v>
                </c:pt>
                <c:pt idx="19">
                  <c:v>7.0835197142579076E-2</c:v>
                </c:pt>
                <c:pt idx="20">
                  <c:v>7.7598113609177427E-2</c:v>
                </c:pt>
                <c:pt idx="21">
                  <c:v>8.5230780470140016E-2</c:v>
                </c:pt>
                <c:pt idx="22">
                  <c:v>9.3143618489678684E-2</c:v>
                </c:pt>
                <c:pt idx="23">
                  <c:v>0.10221258657764812</c:v>
                </c:pt>
                <c:pt idx="24">
                  <c:v>0.11184849324752313</c:v>
                </c:pt>
                <c:pt idx="25">
                  <c:v>0.12263109036102404</c:v>
                </c:pt>
                <c:pt idx="26">
                  <c:v>0.13426369090756718</c:v>
                </c:pt>
                <c:pt idx="27">
                  <c:v>0.14703160053120937</c:v>
                </c:pt>
                <c:pt idx="28">
                  <c:v>0.16121720532420269</c:v>
                </c:pt>
                <c:pt idx="29">
                  <c:v>0.17652269215661093</c:v>
                </c:pt>
                <c:pt idx="30">
                  <c:v>0.19322789915561289</c:v>
                </c:pt>
                <c:pt idx="31">
                  <c:v>0.21189549858745724</c:v>
                </c:pt>
                <c:pt idx="32">
                  <c:v>0.23193640726685313</c:v>
                </c:pt>
                <c:pt idx="33">
                  <c:v>0.25390684584226897</c:v>
                </c:pt>
                <c:pt idx="34">
                  <c:v>0.27806912891049518</c:v>
                </c:pt>
                <c:pt idx="35">
                  <c:v>0.30467785208087778</c:v>
                </c:pt>
                <c:pt idx="36">
                  <c:v>0.33341598513471088</c:v>
                </c:pt>
                <c:pt idx="37">
                  <c:v>0.36480567072171333</c:v>
                </c:pt>
                <c:pt idx="38">
                  <c:v>0.39907200589469022</c:v>
                </c:pt>
                <c:pt idx="39">
                  <c:v>0.43669917509018447</c:v>
                </c:pt>
                <c:pt idx="40">
                  <c:v>0.47732158986831269</c:v>
                </c:pt>
                <c:pt idx="41">
                  <c:v>0.52192078128373898</c:v>
                </c:pt>
                <c:pt idx="42">
                  <c:v>0.57007463512406864</c:v>
                </c:pt>
                <c:pt idx="43">
                  <c:v>0.62213758789940277</c:v>
                </c:pt>
                <c:pt idx="44">
                  <c:v>0.67866001454504177</c:v>
                </c:pt>
                <c:pt idx="45">
                  <c:v>0.73958343978958518</c:v>
                </c:pt>
                <c:pt idx="46">
                  <c:v>0.80501677653186066</c:v>
                </c:pt>
                <c:pt idx="47">
                  <c:v>0.87494533892001913</c:v>
                </c:pt>
                <c:pt idx="48">
                  <c:v>0.94967136282568976</c:v>
                </c:pt>
                <c:pt idx="49">
                  <c:v>1.0285666904626394</c:v>
                </c:pt>
                <c:pt idx="50">
                  <c:v>1.1112398175465577</c:v>
                </c:pt>
                <c:pt idx="51">
                  <c:v>1.1973880571156812</c:v>
                </c:pt>
                <c:pt idx="52">
                  <c:v>1.2856626702418208</c:v>
                </c:pt>
                <c:pt idx="53">
                  <c:v>1.3748410505739785</c:v>
                </c:pt>
                <c:pt idx="54">
                  <c:v>1.4627585894387218</c:v>
                </c:pt>
                <c:pt idx="55">
                  <c:v>1.5470896056958083</c:v>
                </c:pt>
                <c:pt idx="56">
                  <c:v>1.6245639770565192</c:v>
                </c:pt>
                <c:pt idx="57">
                  <c:v>1.6912341953370142</c:v>
                </c:pt>
                <c:pt idx="58">
                  <c:v>1.7423188940586471</c:v>
                </c:pt>
                <c:pt idx="59">
                  <c:v>1.7726444935997199</c:v>
                </c:pt>
                <c:pt idx="60">
                  <c:v>1.776454851471434</c:v>
                </c:pt>
                <c:pt idx="61">
                  <c:v>1.7483875794654873</c:v>
                </c:pt>
                <c:pt idx="62">
                  <c:v>1.6833583226168534</c:v>
                </c:pt>
                <c:pt idx="63">
                  <c:v>1.5788651635121838</c:v>
                </c:pt>
                <c:pt idx="64">
                  <c:v>1.4352818238033689</c:v>
                </c:pt>
                <c:pt idx="65">
                  <c:v>1.2558617579552547</c:v>
                </c:pt>
                <c:pt idx="66">
                  <c:v>1.0497523544249014</c:v>
                </c:pt>
                <c:pt idx="67">
                  <c:v>0.8298766084830077</c:v>
                </c:pt>
                <c:pt idx="68">
                  <c:v>0.61492525454202207</c:v>
                </c:pt>
                <c:pt idx="69">
                  <c:v>0.42073140688484945</c:v>
                </c:pt>
                <c:pt idx="70">
                  <c:v>0.26147602302432077</c:v>
                </c:pt>
                <c:pt idx="71">
                  <c:v>0.14477875907865953</c:v>
                </c:pt>
                <c:pt idx="72">
                  <c:v>6.9823060882373611E-2</c:v>
                </c:pt>
                <c:pt idx="73">
                  <c:v>2.8485091102377499E-2</c:v>
                </c:pt>
                <c:pt idx="74">
                  <c:v>9.5262905155599209E-3</c:v>
                </c:pt>
                <c:pt idx="75">
                  <c:v>2.5010425453516399E-3</c:v>
                </c:pt>
                <c:pt idx="76">
                  <c:v>4.9182109732712328E-4</c:v>
                </c:pt>
                <c:pt idx="77">
                  <c:v>6.8959337322464898E-5</c:v>
                </c:pt>
                <c:pt idx="78">
                  <c:v>6.8412569742722822E-6</c:v>
                </c:pt>
                <c:pt idx="79">
                  <c:v>9.227730682131477E-7</c:v>
                </c:pt>
                <c:pt idx="80">
                  <c:v>5.3875203311531019E-7</c:v>
                </c:pt>
                <c:pt idx="81">
                  <c:v>4.8153791782897894E-7</c:v>
                </c:pt>
                <c:pt idx="82">
                  <c:v>4.3852631649967948E-7</c:v>
                </c:pt>
                <c:pt idx="83">
                  <c:v>3.9947808230310603E-7</c:v>
                </c:pt>
                <c:pt idx="84">
                  <c:v>3.6387678143929026E-7</c:v>
                </c:pt>
                <c:pt idx="85">
                  <c:v>3.3142267280063316E-7</c:v>
                </c:pt>
                <c:pt idx="86">
                  <c:v>3.0203496769268849E-7</c:v>
                </c:pt>
                <c:pt idx="87">
                  <c:v>2.7515160245351829E-7</c:v>
                </c:pt>
                <c:pt idx="88">
                  <c:v>2.5059705033304353E-7</c:v>
                </c:pt>
                <c:pt idx="89">
                  <c:v>2.2821024983030294E-7</c:v>
                </c:pt>
                <c:pt idx="90">
                  <c:v>2.0795537911870591E-7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592192"/>
        <c:axId val="371606272"/>
      </c:scatterChart>
      <c:valAx>
        <c:axId val="371592192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606272"/>
        <c:crosses val="autoZero"/>
        <c:crossBetween val="midCat"/>
      </c:valAx>
      <c:valAx>
        <c:axId val="37160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592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Normal!$C$2:$C$101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 formatCode="0.00E+00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Normal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Normal!$I$2:$I$101</c:f>
              <c:numCache>
                <c:formatCode>General</c:formatCode>
                <c:ptCount val="100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8.8451122804042066E-6</c:v>
                </c:pt>
                <c:pt idx="10">
                  <c:v>1.4314290504605203E-5</c:v>
                </c:pt>
                <c:pt idx="11">
                  <c:v>2.3078731871163335E-5</c:v>
                </c:pt>
                <c:pt idx="12">
                  <c:v>3.5413834065662085E-5</c:v>
                </c:pt>
                <c:pt idx="13">
                  <c:v>5.6114802329691744E-5</c:v>
                </c:pt>
                <c:pt idx="14">
                  <c:v>9.0394318358328864E-5</c:v>
                </c:pt>
                <c:pt idx="15">
                  <c:v>1.3813367505176327E-4</c:v>
                </c:pt>
                <c:pt idx="16">
                  <c:v>2.1280124548497326E-4</c:v>
                </c:pt>
                <c:pt idx="17">
                  <c:v>3.2033963799973561E-4</c:v>
                </c:pt>
                <c:pt idx="18">
                  <c:v>4.8139960600538745E-4</c:v>
                </c:pt>
                <c:pt idx="19">
                  <c:v>7.1837703545519203E-4</c:v>
                </c:pt>
                <c:pt idx="20">
                  <c:v>1.0605003786323527E-3</c:v>
                </c:pt>
                <c:pt idx="21">
                  <c:v>1.5668427187542733E-3</c:v>
                </c:pt>
                <c:pt idx="22">
                  <c:v>2.2450964638795292E-3</c:v>
                </c:pt>
                <c:pt idx="23">
                  <c:v>3.2386783648056363E-3</c:v>
                </c:pt>
                <c:pt idx="24">
                  <c:v>4.5755406445733464E-3</c:v>
                </c:pt>
                <c:pt idx="25">
                  <c:v>6.4488131169730878E-3</c:v>
                </c:pt>
                <c:pt idx="26">
                  <c:v>8.9541710105502208E-3</c:v>
                </c:pt>
                <c:pt idx="27">
                  <c:v>1.232354081404289E-2</c:v>
                </c:pt>
                <c:pt idx="28">
                  <c:v>1.6870151260915706E-2</c:v>
                </c:pt>
                <c:pt idx="29">
                  <c:v>2.2763693396431469E-2</c:v>
                </c:pt>
                <c:pt idx="30">
                  <c:v>3.0398968731031546E-2</c:v>
                </c:pt>
                <c:pt idx="31">
                  <c:v>4.0435392413845424E-2</c:v>
                </c:pt>
                <c:pt idx="32">
                  <c:v>5.2973209049479213E-2</c:v>
                </c:pt>
                <c:pt idx="33">
                  <c:v>6.8778296537838568E-2</c:v>
                </c:pt>
                <c:pt idx="34">
                  <c:v>8.8563478585618E-2</c:v>
                </c:pt>
                <c:pt idx="35">
                  <c:v>0.11311570694518276</c:v>
                </c:pt>
                <c:pt idx="36">
                  <c:v>0.1426618901122082</c:v>
                </c:pt>
                <c:pt idx="37">
                  <c:v>0.17821136016959949</c:v>
                </c:pt>
                <c:pt idx="38">
                  <c:v>0.22049960813087321</c:v>
                </c:pt>
                <c:pt idx="39">
                  <c:v>0.27056544811466715</c:v>
                </c:pt>
                <c:pt idx="40">
                  <c:v>0.32820047516967427</c:v>
                </c:pt>
                <c:pt idx="41">
                  <c:v>0.39493566274089476</c:v>
                </c:pt>
                <c:pt idx="42">
                  <c:v>0.47009914288666471</c:v>
                </c:pt>
                <c:pt idx="43">
                  <c:v>0.55393081259221177</c:v>
                </c:pt>
                <c:pt idx="44">
                  <c:v>0.64679726564537787</c:v>
                </c:pt>
                <c:pt idx="45">
                  <c:v>0.74782656397396718</c:v>
                </c:pt>
                <c:pt idx="46">
                  <c:v>0.85616020636315215</c:v>
                </c:pt>
                <c:pt idx="47">
                  <c:v>0.97051344106150561</c:v>
                </c:pt>
                <c:pt idx="48">
                  <c:v>1.0899294632808472</c:v>
                </c:pt>
                <c:pt idx="49">
                  <c:v>1.2118486316777046</c:v>
                </c:pt>
                <c:pt idx="50">
                  <c:v>1.334135312465728</c:v>
                </c:pt>
                <c:pt idx="51">
                  <c:v>1.4548865565554916</c:v>
                </c:pt>
                <c:pt idx="52">
                  <c:v>1.5710006828066312</c:v>
                </c:pt>
                <c:pt idx="53">
                  <c:v>1.6800731582259951</c:v>
                </c:pt>
                <c:pt idx="54">
                  <c:v>1.7792272395591322</c:v>
                </c:pt>
                <c:pt idx="55">
                  <c:v>1.8663554340543984</c:v>
                </c:pt>
                <c:pt idx="56">
                  <c:v>1.9395290034136075</c:v>
                </c:pt>
                <c:pt idx="57">
                  <c:v>1.997720560576004</c:v>
                </c:pt>
                <c:pt idx="58">
                  <c:v>2.0411271305733401</c:v>
                </c:pt>
                <c:pt idx="59">
                  <c:v>2.072059608204972</c:v>
                </c:pt>
                <c:pt idx="60">
                  <c:v>2.0952660854460072</c:v>
                </c:pt>
                <c:pt idx="61">
                  <c:v>2.1184342924631805</c:v>
                </c:pt>
                <c:pt idx="62">
                  <c:v>2.1527041705888545</c:v>
                </c:pt>
                <c:pt idx="63">
                  <c:v>2.2105548918654772</c:v>
                </c:pt>
                <c:pt idx="64">
                  <c:v>2.303852743759855</c:v>
                </c:pt>
                <c:pt idx="65">
                  <c:v>2.440797649959864</c:v>
                </c:pt>
                <c:pt idx="66">
                  <c:v>2.6200696057365347</c:v>
                </c:pt>
                <c:pt idx="67">
                  <c:v>2.828690604959434</c:v>
                </c:pt>
                <c:pt idx="68">
                  <c:v>3.0379804112350612</c:v>
                </c:pt>
                <c:pt idx="69">
                  <c:v>3.2124656024548557</c:v>
                </c:pt>
                <c:pt idx="70">
                  <c:v>3.3123046633169997</c:v>
                </c:pt>
                <c:pt idx="71">
                  <c:v>3.304360183708694</c:v>
                </c:pt>
                <c:pt idx="72">
                  <c:v>3.1718012184300517</c:v>
                </c:pt>
                <c:pt idx="73">
                  <c:v>2.9186805405589924</c:v>
                </c:pt>
                <c:pt idx="74">
                  <c:v>2.5703825782306255</c:v>
                </c:pt>
                <c:pt idx="75">
                  <c:v>2.1647973538135918</c:v>
                </c:pt>
                <c:pt idx="76">
                  <c:v>1.7455781734897104</c:v>
                </c:pt>
                <c:pt idx="77">
                  <c:v>1.3516160550812459</c:v>
                </c:pt>
                <c:pt idx="78">
                  <c:v>1.0082654175767698</c:v>
                </c:pt>
                <c:pt idx="79">
                  <c:v>0.73024072171521726</c:v>
                </c:pt>
                <c:pt idx="80">
                  <c:v>0.51723662449076024</c:v>
                </c:pt>
                <c:pt idx="81">
                  <c:v>0.36208437494797435</c:v>
                </c:pt>
                <c:pt idx="82">
                  <c:v>0.25337446053667034</c:v>
                </c:pt>
                <c:pt idx="83">
                  <c:v>0.17888385001507762</c:v>
                </c:pt>
                <c:pt idx="84">
                  <c:v>0.12815236498454813</c:v>
                </c:pt>
                <c:pt idx="85">
                  <c:v>9.3293197965913024E-2</c:v>
                </c:pt>
                <c:pt idx="86">
                  <c:v>6.896673954502322E-2</c:v>
                </c:pt>
                <c:pt idx="87">
                  <c:v>5.1350396628914767E-2</c:v>
                </c:pt>
                <c:pt idx="88">
                  <c:v>3.8314925590183894E-2</c:v>
                </c:pt>
                <c:pt idx="89">
                  <c:v>2.8530270264869304E-2</c:v>
                </c:pt>
                <c:pt idx="90">
                  <c:v>2.1180365380479214E-2</c:v>
                </c:pt>
                <c:pt idx="91">
                  <c:v>1.5593341466752389E-2</c:v>
                </c:pt>
                <c:pt idx="92">
                  <c:v>1.1382128905378205E-2</c:v>
                </c:pt>
                <c:pt idx="93">
                  <c:v>8.240006490420693E-3</c:v>
                </c:pt>
                <c:pt idx="94">
                  <c:v>5.9034322428135827E-3</c:v>
                </c:pt>
                <c:pt idx="95">
                  <c:v>4.1855569406361384E-3</c:v>
                </c:pt>
                <c:pt idx="96">
                  <c:v>2.9449925642470931E-3</c:v>
                </c:pt>
                <c:pt idx="97">
                  <c:v>2.049324092522186E-3</c:v>
                </c:pt>
                <c:pt idx="98">
                  <c:v>1.4131961888634256E-3</c:v>
                </c:pt>
                <c:pt idx="99">
                  <c:v>9.6452762772816292E-4</c:v>
                </c:pt>
              </c:numCache>
            </c:numRef>
          </c:yVal>
          <c:smooth val="1"/>
        </c:ser>
        <c:ser>
          <c:idx val="2"/>
          <c:order val="2"/>
          <c:tx>
            <c:v>Moda 1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Normal!$D$2:$D$101</c:f>
              <c:numCache>
                <c:formatCode>General</c:formatCode>
                <c:ptCount val="100"/>
                <c:pt idx="0">
                  <c:v>6.9956222072742375E-8</c:v>
                </c:pt>
                <c:pt idx="1">
                  <c:v>1.2578569848828826E-7</c:v>
                </c:pt>
                <c:pt idx="2">
                  <c:v>2.1300376515204719E-7</c:v>
                </c:pt>
                <c:pt idx="3">
                  <c:v>3.8407026977374167E-7</c:v>
                </c:pt>
                <c:pt idx="4">
                  <c:v>6.504024753546091E-7</c:v>
                </c:pt>
                <c:pt idx="5">
                  <c:v>1.1441102786267707E-6</c:v>
                </c:pt>
                <c:pt idx="6">
                  <c:v>1.8951941219394292E-6</c:v>
                </c:pt>
                <c:pt idx="7">
                  <c:v>3.2098527688679629E-6</c:v>
                </c:pt>
                <c:pt idx="8">
                  <c:v>5.1467037855078969E-6</c:v>
                </c:pt>
                <c:pt idx="9">
                  <c:v>8.8451122804042066E-6</c:v>
                </c:pt>
                <c:pt idx="10">
                  <c:v>1.4314290504605203E-5</c:v>
                </c:pt>
                <c:pt idx="11">
                  <c:v>2.3078731871163335E-5</c:v>
                </c:pt>
                <c:pt idx="12">
                  <c:v>3.5413834065662085E-5</c:v>
                </c:pt>
                <c:pt idx="13">
                  <c:v>5.6114802329691744E-5</c:v>
                </c:pt>
                <c:pt idx="14">
                  <c:v>9.0394318358328864E-5</c:v>
                </c:pt>
                <c:pt idx="15">
                  <c:v>1.3813367505176327E-4</c:v>
                </c:pt>
                <c:pt idx="16">
                  <c:v>2.1280124548497326E-4</c:v>
                </c:pt>
                <c:pt idx="17">
                  <c:v>3.2033963799973561E-4</c:v>
                </c:pt>
                <c:pt idx="18">
                  <c:v>4.8139960600538745E-4</c:v>
                </c:pt>
                <c:pt idx="19">
                  <c:v>7.1837703545519203E-4</c:v>
                </c:pt>
                <c:pt idx="20">
                  <c:v>1.0605003786323527E-3</c:v>
                </c:pt>
                <c:pt idx="21">
                  <c:v>1.5668427187542733E-3</c:v>
                </c:pt>
                <c:pt idx="22">
                  <c:v>2.2450964638795292E-3</c:v>
                </c:pt>
                <c:pt idx="23">
                  <c:v>3.2386783648056363E-3</c:v>
                </c:pt>
                <c:pt idx="24">
                  <c:v>4.5755406445733464E-3</c:v>
                </c:pt>
                <c:pt idx="25">
                  <c:v>6.4488131169730878E-3</c:v>
                </c:pt>
                <c:pt idx="26">
                  <c:v>8.9541710105502208E-3</c:v>
                </c:pt>
                <c:pt idx="27">
                  <c:v>1.232354081404289E-2</c:v>
                </c:pt>
                <c:pt idx="28">
                  <c:v>1.6870151260915706E-2</c:v>
                </c:pt>
                <c:pt idx="29">
                  <c:v>2.2763693396431469E-2</c:v>
                </c:pt>
                <c:pt idx="30">
                  <c:v>3.0398968731031546E-2</c:v>
                </c:pt>
                <c:pt idx="31">
                  <c:v>4.0435392413845424E-2</c:v>
                </c:pt>
                <c:pt idx="32">
                  <c:v>5.2973209049479213E-2</c:v>
                </c:pt>
                <c:pt idx="33">
                  <c:v>6.8778296537838568E-2</c:v>
                </c:pt>
                <c:pt idx="34">
                  <c:v>8.8563478585618E-2</c:v>
                </c:pt>
                <c:pt idx="35">
                  <c:v>0.11311570694518272</c:v>
                </c:pt>
                <c:pt idx="36">
                  <c:v>0.14266189011220787</c:v>
                </c:pt>
                <c:pt idx="37">
                  <c:v>0.17821136016959704</c:v>
                </c:pt>
                <c:pt idx="38">
                  <c:v>0.22049960813085565</c:v>
                </c:pt>
                <c:pt idx="39">
                  <c:v>0.27056544811454669</c:v>
                </c:pt>
                <c:pt idx="40">
                  <c:v>0.32820047516890732</c:v>
                </c:pt>
                <c:pt idx="41">
                  <c:v>0.39493566273621067</c:v>
                </c:pt>
                <c:pt idx="42">
                  <c:v>0.4700991428599679</c:v>
                </c:pt>
                <c:pt idx="43">
                  <c:v>0.55393081244921916</c:v>
                </c:pt>
                <c:pt idx="44">
                  <c:v>0.64679726491799283</c:v>
                </c:pt>
                <c:pt idx="45">
                  <c:v>0.74782656048671736</c:v>
                </c:pt>
                <c:pt idx="46">
                  <c:v>0.85616019060712434</c:v>
                </c:pt>
                <c:pt idx="47">
                  <c:v>0.97051337403234794</c:v>
                </c:pt>
                <c:pt idx="48">
                  <c:v>1.0899291928902108</c:v>
                </c:pt>
                <c:pt idx="49">
                  <c:v>1.2118476057559602</c:v>
                </c:pt>
                <c:pt idx="50">
                  <c:v>1.3341316474188767</c:v>
                </c:pt>
                <c:pt idx="51">
                  <c:v>1.4548741611133436</c:v>
                </c:pt>
                <c:pt idx="52">
                  <c:v>1.5709611963156418</c:v>
                </c:pt>
                <c:pt idx="53">
                  <c:v>1.679954359955496</c:v>
                </c:pt>
                <c:pt idx="54">
                  <c:v>1.7788906347939708</c:v>
                </c:pt>
                <c:pt idx="55">
                  <c:v>1.8654549481169489</c:v>
                </c:pt>
                <c:pt idx="56">
                  <c:v>1.9372559101927975</c:v>
                </c:pt>
                <c:pt idx="57">
                  <c:v>1.9923052653247617</c:v>
                </c:pt>
                <c:pt idx="58">
                  <c:v>2.028968764462534</c:v>
                </c:pt>
                <c:pt idx="59">
                  <c:v>2.0462800772086251</c:v>
                </c:pt>
                <c:pt idx="60">
                  <c:v>2.0436563667220904</c:v>
                </c:pt>
                <c:pt idx="61">
                  <c:v>2.0213193569238292</c:v>
                </c:pt>
                <c:pt idx="62">
                  <c:v>1.979630062561613</c:v>
                </c:pt>
                <c:pt idx="63">
                  <c:v>1.9200631913662973</c:v>
                </c:pt>
                <c:pt idx="64">
                  <c:v>1.844445806797929</c:v>
                </c:pt>
                <c:pt idx="65">
                  <c:v>1.7544308366892705</c:v>
                </c:pt>
                <c:pt idx="66">
                  <c:v>1.6525824316778175</c:v>
                </c:pt>
                <c:pt idx="67">
                  <c:v>1.5411877996674956</c:v>
                </c:pt>
                <c:pt idx="68">
                  <c:v>1.4239079038187694</c:v>
                </c:pt>
                <c:pt idx="69">
                  <c:v>1.3026809252384126</c:v>
                </c:pt>
                <c:pt idx="70">
                  <c:v>1.1800743159196077</c:v>
                </c:pt>
                <c:pt idx="71">
                  <c:v>1.0585638295245436</c:v>
                </c:pt>
                <c:pt idx="72">
                  <c:v>0.94041574199993361</c:v>
                </c:pt>
                <c:pt idx="73">
                  <c:v>0.82725942764330207</c:v>
                </c:pt>
                <c:pt idx="74">
                  <c:v>0.72081007433876076</c:v>
                </c:pt>
                <c:pt idx="75">
                  <c:v>0.62187285378541157</c:v>
                </c:pt>
                <c:pt idx="76">
                  <c:v>0.53131224101151875</c:v>
                </c:pt>
                <c:pt idx="77">
                  <c:v>0.44964980623178014</c:v>
                </c:pt>
                <c:pt idx="78">
                  <c:v>0.37668787387824676</c:v>
                </c:pt>
                <c:pt idx="79">
                  <c:v>0.31263714208548649</c:v>
                </c:pt>
                <c:pt idx="80">
                  <c:v>0.25689031449465988</c:v>
                </c:pt>
                <c:pt idx="81">
                  <c:v>0.20901064667815661</c:v>
                </c:pt>
                <c:pt idx="82">
                  <c:v>0.16843141172614118</c:v>
                </c:pt>
                <c:pt idx="83">
                  <c:v>0.13441396499710268</c:v>
                </c:pt>
                <c:pt idx="84">
                  <c:v>0.10620294174198158</c:v>
                </c:pt>
                <c:pt idx="85">
                  <c:v>8.3080073017070571E-2</c:v>
                </c:pt>
                <c:pt idx="86">
                  <c:v>6.446094139930035E-2</c:v>
                </c:pt>
                <c:pt idx="87">
                  <c:v>4.9480771144003281E-2</c:v>
                </c:pt>
                <c:pt idx="88">
                  <c:v>3.7584931582642381E-2</c:v>
                </c:pt>
                <c:pt idx="89">
                  <c:v>2.8261744197170497E-2</c:v>
                </c:pt>
                <c:pt idx="90">
                  <c:v>2.1086522996661729E-2</c:v>
                </c:pt>
                <c:pt idx="91">
                  <c:v>1.5562527409024286E-2</c:v>
                </c:pt>
                <c:pt idx="92">
                  <c:v>1.1372588494246326E-2</c:v>
                </c:pt>
                <c:pt idx="93">
                  <c:v>8.2372105889322797E-3</c:v>
                </c:pt>
                <c:pt idx="94">
                  <c:v>5.9026620747873928E-3</c:v>
                </c:pt>
                <c:pt idx="95">
                  <c:v>4.1853574331461646E-3</c:v>
                </c:pt>
                <c:pt idx="96">
                  <c:v>2.9449434085023702E-3</c:v>
                </c:pt>
                <c:pt idx="97">
                  <c:v>2.0493127270249361E-3</c:v>
                </c:pt>
                <c:pt idx="98">
                  <c:v>1.4131937027913439E-3</c:v>
                </c:pt>
                <c:pt idx="99">
                  <c:v>9.6452711588775584E-4</c:v>
                </c:pt>
              </c:numCache>
            </c:numRef>
          </c:yVal>
          <c:smooth val="1"/>
        </c:ser>
        <c:ser>
          <c:idx val="3"/>
          <c:order val="3"/>
          <c:tx>
            <c:v>Moda 2</c:v>
          </c:tx>
          <c:marker>
            <c:symbol val="none"/>
          </c:marker>
          <c:xVal>
            <c:numRef>
              <c:f>Normal!$A$2:$A$101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Normal!$F$2:$F$101</c:f>
              <c:numCache>
                <c:formatCode>General</c:formatCode>
                <c:ptCount val="100"/>
                <c:pt idx="0">
                  <c:v>7.5677574615342769E-65</c:v>
                </c:pt>
                <c:pt idx="1">
                  <c:v>5.1460063187853888E-63</c:v>
                </c:pt>
                <c:pt idx="2">
                  <c:v>2.2979798658382978E-61</c:v>
                </c:pt>
                <c:pt idx="3">
                  <c:v>1.6347590505865137E-59</c:v>
                </c:pt>
                <c:pt idx="4">
                  <c:v>7.4758305626498458E-58</c:v>
                </c:pt>
                <c:pt idx="5">
                  <c:v>4.56580737797231E-56</c:v>
                </c:pt>
                <c:pt idx="6">
                  <c:v>1.8227151754895603E-54</c:v>
                </c:pt>
                <c:pt idx="7">
                  <c:v>8.6716951270220273E-53</c:v>
                </c:pt>
                <c:pt idx="8">
                  <c:v>2.794913298453136E-51</c:v>
                </c:pt>
                <c:pt idx="9">
                  <c:v>1.5231327598564333E-49</c:v>
                </c:pt>
                <c:pt idx="10">
                  <c:v>5.4014170341278655E-48</c:v>
                </c:pt>
                <c:pt idx="11">
                  <c:v>1.8894496314526013E-46</c:v>
                </c:pt>
                <c:pt idx="12">
                  <c:v>4.6320893848619996E-45</c:v>
                </c:pt>
                <c:pt idx="13">
                  <c:v>1.4640065071065527E-43</c:v>
                </c:pt>
                <c:pt idx="14">
                  <c:v>5.3232077573342109E-42</c:v>
                </c:pt>
                <c:pt idx="15">
                  <c:v>1.3203905185851315E-40</c:v>
                </c:pt>
                <c:pt idx="16">
                  <c:v>3.5369670666840933E-39</c:v>
                </c:pt>
                <c:pt idx="17">
                  <c:v>8.070913753024162E-38</c:v>
                </c:pt>
                <c:pt idx="18">
                  <c:v>1.8472528774594925E-36</c:v>
                </c:pt>
                <c:pt idx="19">
                  <c:v>4.0736988370180799E-35</c:v>
                </c:pt>
                <c:pt idx="20">
                  <c:v>8.407840009564311E-34</c:v>
                </c:pt>
                <c:pt idx="21">
                  <c:v>1.7787586869079865E-32</c:v>
                </c:pt>
                <c:pt idx="22">
                  <c:v>3.0140346554927101E-31</c:v>
                </c:pt>
                <c:pt idx="23">
                  <c:v>5.4869253575492213E-30</c:v>
                </c:pt>
                <c:pt idx="24">
                  <c:v>8.6287674648357653E-29</c:v>
                </c:pt>
                <c:pt idx="25">
                  <c:v>1.3578025464042428E-27</c:v>
                </c:pt>
                <c:pt idx="26">
                  <c:v>1.9331439038724516E-26</c:v>
                </c:pt>
                <c:pt idx="27">
                  <c:v>2.6154816655846862E-25</c:v>
                </c:pt>
                <c:pt idx="28">
                  <c:v>3.4612690355424573E-24</c:v>
                </c:pt>
                <c:pt idx="29">
                  <c:v>4.158667215549504E-23</c:v>
                </c:pt>
                <c:pt idx="30">
                  <c:v>4.6879904354884482E-22</c:v>
                </c:pt>
                <c:pt idx="31">
                  <c:v>5.2361167896518594E-21</c:v>
                </c:pt>
                <c:pt idx="32">
                  <c:v>5.2678579946433923E-20</c:v>
                </c:pt>
                <c:pt idx="33">
                  <c:v>5.0319509139542698E-19</c:v>
                </c:pt>
                <c:pt idx="34">
                  <c:v>4.5931828952791271E-18</c:v>
                </c:pt>
                <c:pt idx="35">
                  <c:v>4.013157511008857E-17</c:v>
                </c:pt>
                <c:pt idx="36">
                  <c:v>3.2248179428818175E-16</c:v>
                </c:pt>
                <c:pt idx="37">
                  <c:v>2.4482573106979377E-15</c:v>
                </c:pt>
                <c:pt idx="38">
                  <c:v>1.7562629726969491E-14</c:v>
                </c:pt>
                <c:pt idx="39">
                  <c:v>1.2048302785474033E-13</c:v>
                </c:pt>
                <c:pt idx="40">
                  <c:v>7.6691974409907373E-13</c:v>
                </c:pt>
                <c:pt idx="41">
                  <c:v>4.6840624114981162E-12</c:v>
                </c:pt>
                <c:pt idx="42">
                  <c:v>2.6696827418509329E-11</c:v>
                </c:pt>
                <c:pt idx="43">
                  <c:v>1.4299258056033257E-10</c:v>
                </c:pt>
                <c:pt idx="44">
                  <c:v>7.2738498619551153E-10</c:v>
                </c:pt>
                <c:pt idx="45">
                  <c:v>3.4872498173431029E-9</c:v>
                </c:pt>
                <c:pt idx="46">
                  <c:v>1.5756027773160498E-8</c:v>
                </c:pt>
                <c:pt idx="47">
                  <c:v>6.7029157690055148E-8</c:v>
                </c:pt>
                <c:pt idx="48">
                  <c:v>2.7039063639933342E-7</c:v>
                </c:pt>
                <c:pt idx="49">
                  <c:v>1.0259217444413161E-6</c:v>
                </c:pt>
                <c:pt idx="50">
                  <c:v>3.6650468513883607E-6</c:v>
                </c:pt>
                <c:pt idx="51">
                  <c:v>1.2395442147949205E-5</c:v>
                </c:pt>
                <c:pt idx="52">
                  <c:v>3.9486490989366847E-5</c:v>
                </c:pt>
                <c:pt idx="53">
                  <c:v>1.187982704991058E-4</c:v>
                </c:pt>
                <c:pt idx="54">
                  <c:v>3.3660476516132932E-4</c:v>
                </c:pt>
                <c:pt idx="55">
                  <c:v>9.0048593744960137E-4</c:v>
                </c:pt>
                <c:pt idx="56">
                  <c:v>2.2730932208098924E-3</c:v>
                </c:pt>
                <c:pt idx="57">
                  <c:v>5.4152952512423278E-3</c:v>
                </c:pt>
                <c:pt idx="58">
                  <c:v>1.2158366110806009E-2</c:v>
                </c:pt>
                <c:pt idx="59">
                  <c:v>2.5779530996347104E-2</c:v>
                </c:pt>
                <c:pt idx="60">
                  <c:v>5.1609718723916627E-2</c:v>
                </c:pt>
                <c:pt idx="61">
                  <c:v>9.7114935539351077E-2</c:v>
                </c:pt>
                <c:pt idx="62">
                  <c:v>0.17307410802724169</c:v>
                </c:pt>
                <c:pt idx="63">
                  <c:v>0.29049170049917994</c:v>
                </c:pt>
                <c:pt idx="64">
                  <c:v>0.45940693696192619</c:v>
                </c:pt>
                <c:pt idx="65">
                  <c:v>0.68636681327059357</c:v>
                </c:pt>
                <c:pt idx="66">
                  <c:v>0.96748717405871709</c:v>
                </c:pt>
                <c:pt idx="67">
                  <c:v>1.2875028052919384</c:v>
                </c:pt>
                <c:pt idx="68">
                  <c:v>1.6140725074162918</c:v>
                </c:pt>
                <c:pt idx="69">
                  <c:v>1.9097846772164428</c:v>
                </c:pt>
                <c:pt idx="70">
                  <c:v>2.132230347397392</c:v>
                </c:pt>
                <c:pt idx="71">
                  <c:v>2.2457963541841504</c:v>
                </c:pt>
                <c:pt idx="72">
                  <c:v>2.231385476430118</c:v>
                </c:pt>
                <c:pt idx="73">
                  <c:v>2.0914211129156901</c:v>
                </c:pt>
                <c:pt idx="74">
                  <c:v>1.8495725038918647</c:v>
                </c:pt>
                <c:pt idx="75">
                  <c:v>1.5429245000281804</c:v>
                </c:pt>
                <c:pt idx="76">
                  <c:v>1.2142659324781917</c:v>
                </c:pt>
                <c:pt idx="77">
                  <c:v>0.90196624884946586</c:v>
                </c:pt>
                <c:pt idx="78">
                  <c:v>0.63157754369852315</c:v>
                </c:pt>
                <c:pt idx="79">
                  <c:v>0.41760357962973077</c:v>
                </c:pt>
                <c:pt idx="80">
                  <c:v>0.26034630999610037</c:v>
                </c:pt>
                <c:pt idx="81">
                  <c:v>0.15307372826981774</c:v>
                </c:pt>
                <c:pt idx="82">
                  <c:v>8.4943048810529179E-2</c:v>
                </c:pt>
                <c:pt idx="83">
                  <c:v>4.4469885017974942E-2</c:v>
                </c:pt>
                <c:pt idx="84">
                  <c:v>2.1949423242566549E-2</c:v>
                </c:pt>
                <c:pt idx="85">
                  <c:v>1.0213124948842458E-2</c:v>
                </c:pt>
                <c:pt idx="86">
                  <c:v>4.5057981457228766E-3</c:v>
                </c:pt>
                <c:pt idx="87">
                  <c:v>1.8696254849114881E-3</c:v>
                </c:pt>
                <c:pt idx="88">
                  <c:v>7.2999400754151578E-4</c:v>
                </c:pt>
                <c:pt idx="89">
                  <c:v>2.6852606769880484E-4</c:v>
                </c:pt>
                <c:pt idx="90">
                  <c:v>9.3842383817486691E-5</c:v>
                </c:pt>
                <c:pt idx="91">
                  <c:v>3.0814057728103093E-5</c:v>
                </c:pt>
                <c:pt idx="92">
                  <c:v>9.5404111318798529E-6</c:v>
                </c:pt>
                <c:pt idx="93">
                  <c:v>2.7959014884125839E-6</c:v>
                </c:pt>
                <c:pt idx="94">
                  <c:v>7.7016802618958144E-7</c:v>
                </c:pt>
                <c:pt idx="95">
                  <c:v>1.9950748997374568E-7</c:v>
                </c:pt>
                <c:pt idx="96">
                  <c:v>4.9155744722719809E-8</c:v>
                </c:pt>
                <c:pt idx="97">
                  <c:v>1.1365497250126972E-8</c:v>
                </c:pt>
                <c:pt idx="98">
                  <c:v>2.48607208174472E-9</c:v>
                </c:pt>
                <c:pt idx="99">
                  <c:v>5.1184040703280133E-10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67296"/>
        <c:axId val="371373184"/>
      </c:scatterChart>
      <c:valAx>
        <c:axId val="371367296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373184"/>
        <c:crosses val="autoZero"/>
        <c:crossBetween val="midCat"/>
      </c:valAx>
      <c:valAx>
        <c:axId val="37137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367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Combinada!$A$2:$A$101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Combinada!$B$2:$B$101</c:f>
              <c:numCache>
                <c:formatCode>General</c:formatCode>
                <c:ptCount val="100"/>
                <c:pt idx="0">
                  <c:v>2.1023600000000001E-4</c:v>
                </c:pt>
                <c:pt idx="1">
                  <c:v>2.8519599999999998E-4</c:v>
                </c:pt>
                <c:pt idx="2">
                  <c:v>4.7028100000000002E-4</c:v>
                </c:pt>
                <c:pt idx="3">
                  <c:v>9.4659099999999999E-4</c:v>
                </c:pt>
                <c:pt idx="4">
                  <c:v>1.95371E-3</c:v>
                </c:pt>
                <c:pt idx="5">
                  <c:v>3.6345499999999998E-3</c:v>
                </c:pt>
                <c:pt idx="6">
                  <c:v>5.6780499999999996E-3</c:v>
                </c:pt>
                <c:pt idx="7">
                  <c:v>7.7367299999999998E-3</c:v>
                </c:pt>
                <c:pt idx="8">
                  <c:v>9.8101400000000002E-3</c:v>
                </c:pt>
                <c:pt idx="9">
                  <c:v>1.2145700000000001E-2</c:v>
                </c:pt>
                <c:pt idx="10">
                  <c:v>1.47198E-2</c:v>
                </c:pt>
                <c:pt idx="11">
                  <c:v>1.7276199999999999E-2</c:v>
                </c:pt>
                <c:pt idx="12">
                  <c:v>1.98026E-2</c:v>
                </c:pt>
                <c:pt idx="13">
                  <c:v>2.25753E-2</c:v>
                </c:pt>
                <c:pt idx="14">
                  <c:v>2.5706099999999999E-2</c:v>
                </c:pt>
                <c:pt idx="15">
                  <c:v>2.9057199999999998E-2</c:v>
                </c:pt>
                <c:pt idx="16">
                  <c:v>3.2605099999999998E-2</c:v>
                </c:pt>
                <c:pt idx="17">
                  <c:v>3.6715699999999997E-2</c:v>
                </c:pt>
                <c:pt idx="18">
                  <c:v>4.1583799999999997E-2</c:v>
                </c:pt>
                <c:pt idx="19">
                  <c:v>4.7156099999999999E-2</c:v>
                </c:pt>
                <c:pt idx="20">
                  <c:v>5.3245199999999999E-2</c:v>
                </c:pt>
                <c:pt idx="21">
                  <c:v>6.0146499999999999E-2</c:v>
                </c:pt>
                <c:pt idx="22">
                  <c:v>6.7653000000000005E-2</c:v>
                </c:pt>
                <c:pt idx="23">
                  <c:v>7.5715199999999996E-2</c:v>
                </c:pt>
                <c:pt idx="24">
                  <c:v>8.42913E-2</c:v>
                </c:pt>
                <c:pt idx="25">
                  <c:v>9.4087599999999993E-2</c:v>
                </c:pt>
                <c:pt idx="26">
                  <c:v>0.105142</c:v>
                </c:pt>
                <c:pt idx="27">
                  <c:v>0.117366</c:v>
                </c:pt>
                <c:pt idx="28">
                  <c:v>0.130638</c:v>
                </c:pt>
                <c:pt idx="29">
                  <c:v>0.14543600000000001</c:v>
                </c:pt>
                <c:pt idx="30">
                  <c:v>0.16197600000000001</c:v>
                </c:pt>
                <c:pt idx="31">
                  <c:v>0.18030499999999999</c:v>
                </c:pt>
                <c:pt idx="32">
                  <c:v>0.20042699999999999</c:v>
                </c:pt>
                <c:pt idx="33">
                  <c:v>0.222694</c:v>
                </c:pt>
                <c:pt idx="34">
                  <c:v>0.247693</c:v>
                </c:pt>
                <c:pt idx="35">
                  <c:v>0.27608199999999999</c:v>
                </c:pt>
                <c:pt idx="36">
                  <c:v>0.30856699999999998</c:v>
                </c:pt>
                <c:pt idx="37">
                  <c:v>0.34587600000000002</c:v>
                </c:pt>
                <c:pt idx="38">
                  <c:v>0.38927600000000001</c:v>
                </c:pt>
                <c:pt idx="39">
                  <c:v>0.440442</c:v>
                </c:pt>
                <c:pt idx="40">
                  <c:v>0.50163100000000005</c:v>
                </c:pt>
                <c:pt idx="41">
                  <c:v>0.57504999999999995</c:v>
                </c:pt>
                <c:pt idx="42">
                  <c:v>0.662906</c:v>
                </c:pt>
                <c:pt idx="43">
                  <c:v>0.76683800000000002</c:v>
                </c:pt>
                <c:pt idx="44">
                  <c:v>0.88772899999999999</c:v>
                </c:pt>
                <c:pt idx="45">
                  <c:v>1.02521</c:v>
                </c:pt>
                <c:pt idx="46">
                  <c:v>1.1773400000000001</c:v>
                </c:pt>
                <c:pt idx="47">
                  <c:v>1.34076</c:v>
                </c:pt>
                <c:pt idx="48">
                  <c:v>1.5111300000000001</c:v>
                </c:pt>
                <c:pt idx="49">
                  <c:v>1.6837899999999999</c:v>
                </c:pt>
                <c:pt idx="50">
                  <c:v>1.85372</c:v>
                </c:pt>
                <c:pt idx="51">
                  <c:v>2.0157400000000001</c:v>
                </c:pt>
                <c:pt idx="52">
                  <c:v>2.1648999999999998</c:v>
                </c:pt>
                <c:pt idx="53">
                  <c:v>2.29806</c:v>
                </c:pt>
                <c:pt idx="54">
                  <c:v>2.4144299999999999</c:v>
                </c:pt>
                <c:pt idx="55">
                  <c:v>2.5150999999999999</c:v>
                </c:pt>
                <c:pt idx="56">
                  <c:v>2.6010300000000002</c:v>
                </c:pt>
                <c:pt idx="57">
                  <c:v>2.6721300000000001</c:v>
                </c:pt>
                <c:pt idx="58">
                  <c:v>2.7285400000000002</c:v>
                </c:pt>
                <c:pt idx="59">
                  <c:v>2.77237</c:v>
                </c:pt>
                <c:pt idx="60">
                  <c:v>2.80776</c:v>
                </c:pt>
                <c:pt idx="61">
                  <c:v>2.8375900000000001</c:v>
                </c:pt>
                <c:pt idx="62">
                  <c:v>2.8596400000000002</c:v>
                </c:pt>
                <c:pt idx="63">
                  <c:v>2.8660800000000002</c:v>
                </c:pt>
                <c:pt idx="64">
                  <c:v>2.8492600000000001</c:v>
                </c:pt>
                <c:pt idx="65">
                  <c:v>2.8115299999999999</c:v>
                </c:pt>
                <c:pt idx="66">
                  <c:v>2.7706300000000001</c:v>
                </c:pt>
                <c:pt idx="67">
                  <c:v>2.75542</c:v>
                </c:pt>
                <c:pt idx="68">
                  <c:v>2.79291</c:v>
                </c:pt>
                <c:pt idx="69">
                  <c:v>2.8941699999999999</c:v>
                </c:pt>
                <c:pt idx="70">
                  <c:v>3.0478399999999999</c:v>
                </c:pt>
                <c:pt idx="71">
                  <c:v>3.22336</c:v>
                </c:pt>
                <c:pt idx="72">
                  <c:v>3.3822899999999998</c:v>
                </c:pt>
                <c:pt idx="73">
                  <c:v>3.4918499999999999</c:v>
                </c:pt>
                <c:pt idx="74">
                  <c:v>3.5293100000000002</c:v>
                </c:pt>
                <c:pt idx="75">
                  <c:v>3.4770400000000001</c:v>
                </c:pt>
                <c:pt idx="76">
                  <c:v>3.3165800000000001</c:v>
                </c:pt>
                <c:pt idx="77">
                  <c:v>3.0245199999999999</c:v>
                </c:pt>
                <c:pt idx="78">
                  <c:v>2.58508</c:v>
                </c:pt>
                <c:pt idx="79">
                  <c:v>2.0150899999999998</c:v>
                </c:pt>
                <c:pt idx="80">
                  <c:v>1.3718399999999999</c:v>
                </c:pt>
                <c:pt idx="81">
                  <c:v>0.73850199999999999</c:v>
                </c:pt>
                <c:pt idx="82">
                  <c:v>0.28099099999999999</c:v>
                </c:pt>
                <c:pt idx="83">
                  <c:v>5.92822E-2</c:v>
                </c:pt>
                <c:pt idx="84">
                  <c:v>5.79103E-3</c:v>
                </c:pt>
                <c:pt idx="85">
                  <c:v>1.02544E-4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Combinada!$C$1</c:f>
              <c:strCache>
                <c:ptCount val="1"/>
                <c:pt idx="0">
                  <c:v>Combinadal Bimodal</c:v>
                </c:pt>
              </c:strCache>
            </c:strRef>
          </c:tx>
          <c:marker>
            <c:symbol val="none"/>
          </c:marker>
          <c:xVal>
            <c:numRef>
              <c:f>Combinada!$A$2:$A$101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Combinada!$C$2:$C$101</c:f>
              <c:numCache>
                <c:formatCode>General</c:formatCode>
                <c:ptCount val="100"/>
                <c:pt idx="0">
                  <c:v>6.6776380251045765E-4</c:v>
                </c:pt>
                <c:pt idx="1">
                  <c:v>7.5711849667451975E-4</c:v>
                </c:pt>
                <c:pt idx="2">
                  <c:v>8.4909444734012588E-4</c:v>
                </c:pt>
                <c:pt idx="3">
                  <c:v>9.6752216206079551E-4</c:v>
                </c:pt>
                <c:pt idx="4">
                  <c:v>1.0895583923985323E-3</c:v>
                </c:pt>
                <c:pt idx="5">
                  <c:v>1.2404649679020334E-3</c:v>
                </c:pt>
                <c:pt idx="6">
                  <c:v>1.3959445581222165E-3</c:v>
                </c:pt>
                <c:pt idx="7">
                  <c:v>1.5827622962677553E-3</c:v>
                </c:pt>
                <c:pt idx="8">
                  <c:v>1.7750813475590427E-3</c:v>
                </c:pt>
                <c:pt idx="9">
                  <c:v>2.0299485839600697E-3</c:v>
                </c:pt>
                <c:pt idx="10">
                  <c:v>2.2928750984702443E-3</c:v>
                </c:pt>
                <c:pt idx="11">
                  <c:v>2.5939426150680292E-3</c:v>
                </c:pt>
                <c:pt idx="12">
                  <c:v>2.9039530264486483E-3</c:v>
                </c:pt>
                <c:pt idx="13">
                  <c:v>3.2872695894367548E-3</c:v>
                </c:pt>
                <c:pt idx="14">
                  <c:v>3.7495279305782029E-3</c:v>
                </c:pt>
                <c:pt idx="15">
                  <c:v>4.2276540579996944E-3</c:v>
                </c:pt>
                <c:pt idx="16">
                  <c:v>4.7934463096377293E-3</c:v>
                </c:pt>
                <c:pt idx="17">
                  <c:v>5.4176470967481904E-3</c:v>
                </c:pt>
                <c:pt idx="18">
                  <c:v>6.1446226141354914E-3</c:v>
                </c:pt>
                <c:pt idx="19">
                  <c:v>6.9867513964748723E-3</c:v>
                </c:pt>
                <c:pt idx="20">
                  <c:v>7.9603131232759347E-3</c:v>
                </c:pt>
                <c:pt idx="21">
                  <c:v>9.1336078627266941E-3</c:v>
                </c:pt>
                <c:pt idx="22">
                  <c:v>1.0445722174751065E-2</c:v>
                </c:pt>
                <c:pt idx="23">
                  <c:v>1.2088953834653769E-2</c:v>
                </c:pt>
                <c:pt idx="24">
                  <c:v>1.4025455368628148E-2</c:v>
                </c:pt>
                <c:pt idx="25">
                  <c:v>1.6464960008235337E-2</c:v>
                </c:pt>
                <c:pt idx="26">
                  <c:v>1.9472924158688808E-2</c:v>
                </c:pt>
                <c:pt idx="27">
                  <c:v>2.3294483633211294E-2</c:v>
                </c:pt>
                <c:pt idx="28">
                  <c:v>2.8271291340264793E-2</c:v>
                </c:pt>
                <c:pt idx="29">
                  <c:v>3.4616537957402604E-2</c:v>
                </c:pt>
                <c:pt idx="30">
                  <c:v>4.2829282015294137E-2</c:v>
                </c:pt>
                <c:pt idx="31">
                  <c:v>5.3748488061044646E-2</c:v>
                </c:pt>
                <c:pt idx="32">
                  <c:v>6.7673104712464738E-2</c:v>
                </c:pt>
                <c:pt idx="33">
                  <c:v>8.5704643332913541E-2</c:v>
                </c:pt>
                <c:pt idx="34">
                  <c:v>0.10898967484538202</c:v>
                </c:pt>
                <c:pt idx="35">
                  <c:v>0.13886789784497333</c:v>
                </c:pt>
                <c:pt idx="36">
                  <c:v>0.17606300557836566</c:v>
                </c:pt>
                <c:pt idx="37">
                  <c:v>0.22231576034460923</c:v>
                </c:pt>
                <c:pt idx="38">
                  <c:v>0.27908055104453006</c:v>
                </c:pt>
                <c:pt idx="39">
                  <c:v>0.34824227008419539</c:v>
                </c:pt>
                <c:pt idx="40">
                  <c:v>0.42990421320634747</c:v>
                </c:pt>
                <c:pt idx="41">
                  <c:v>0.52651238312292137</c:v>
                </c:pt>
                <c:pt idx="42">
                  <c:v>0.63720160335121867</c:v>
                </c:pt>
                <c:pt idx="43">
                  <c:v>0.76218311330903155</c:v>
                </c:pt>
                <c:pt idx="44">
                  <c:v>0.90163064195289433</c:v>
                </c:pt>
                <c:pt idx="45">
                  <c:v>1.05359240984889</c:v>
                </c:pt>
                <c:pt idx="46">
                  <c:v>1.2158681971443468</c:v>
                </c:pt>
                <c:pt idx="47">
                  <c:v>1.3854071463391486</c:v>
                </c:pt>
                <c:pt idx="48">
                  <c:v>1.5594971505462958</c:v>
                </c:pt>
                <c:pt idx="49">
                  <c:v>1.733061625121153</c:v>
                </c:pt>
                <c:pt idx="50">
                  <c:v>1.9018235404186725</c:v>
                </c:pt>
                <c:pt idx="51">
                  <c:v>2.0621040700441289</c:v>
                </c:pt>
                <c:pt idx="52">
                  <c:v>2.2090980890541028</c:v>
                </c:pt>
                <c:pt idx="53">
                  <c:v>2.3395947198461648</c:v>
                </c:pt>
                <c:pt idx="54">
                  <c:v>2.4505911294854248</c:v>
                </c:pt>
                <c:pt idx="55">
                  <c:v>2.5408047624833667</c:v>
                </c:pt>
                <c:pt idx="56">
                  <c:v>2.6098651063287033</c:v>
                </c:pt>
                <c:pt idx="57">
                  <c:v>2.6588308935448515</c:v>
                </c:pt>
                <c:pt idx="58">
                  <c:v>2.6900302712077124</c:v>
                </c:pt>
                <c:pt idx="59">
                  <c:v>2.7071380292868681</c:v>
                </c:pt>
                <c:pt idx="60">
                  <c:v>2.7146923155649407</c:v>
                </c:pt>
                <c:pt idx="61">
                  <c:v>2.7179314723589827</c:v>
                </c:pt>
                <c:pt idx="62">
                  <c:v>2.7224738850304546</c:v>
                </c:pt>
                <c:pt idx="63">
                  <c:v>2.73376435188369</c:v>
                </c:pt>
                <c:pt idx="64">
                  <c:v>2.7566697268744305</c:v>
                </c:pt>
                <c:pt idx="65">
                  <c:v>2.7952807054094064</c:v>
                </c:pt>
                <c:pt idx="66">
                  <c:v>2.8521095621562567</c:v>
                </c:pt>
                <c:pt idx="67">
                  <c:v>2.9280506738678183</c:v>
                </c:pt>
                <c:pt idx="68">
                  <c:v>3.0206896918333759</c:v>
                </c:pt>
                <c:pt idx="69">
                  <c:v>3.1260083272733246</c:v>
                </c:pt>
                <c:pt idx="70">
                  <c:v>3.2362456472104202</c:v>
                </c:pt>
                <c:pt idx="71">
                  <c:v>3.3399014764759407</c:v>
                </c:pt>
                <c:pt idx="72">
                  <c:v>3.4217255023327051</c:v>
                </c:pt>
                <c:pt idx="73">
                  <c:v>3.4633577916405112</c:v>
                </c:pt>
                <c:pt idx="74">
                  <c:v>3.444139888456379</c:v>
                </c:pt>
                <c:pt idx="75">
                  <c:v>3.3435629512047642</c:v>
                </c:pt>
                <c:pt idx="76">
                  <c:v>3.1449537469272419</c:v>
                </c:pt>
                <c:pt idx="77">
                  <c:v>2.8411142171197219</c:v>
                </c:pt>
                <c:pt idx="78">
                  <c:v>2.4375256904001361</c:v>
                </c:pt>
                <c:pt idx="79">
                  <c:v>1.961722673993294</c:v>
                </c:pt>
                <c:pt idx="80">
                  <c:v>1.4564174438917823</c:v>
                </c:pt>
                <c:pt idx="81">
                  <c:v>0.97811194719536365</c:v>
                </c:pt>
                <c:pt idx="82">
                  <c:v>0.58048437235075723</c:v>
                </c:pt>
                <c:pt idx="83">
                  <c:v>0.29568894363099951</c:v>
                </c:pt>
                <c:pt idx="84">
                  <c:v>0.12490495541565649</c:v>
                </c:pt>
                <c:pt idx="85">
                  <c:v>4.2286072137634655E-2</c:v>
                </c:pt>
                <c:pt idx="86">
                  <c:v>1.1468907006889033E-2</c:v>
                </c:pt>
                <c:pt idx="87">
                  <c:v>2.7586776099439696E-3</c:v>
                </c:pt>
                <c:pt idx="88">
                  <c:v>8.710252002971455E-4</c:v>
                </c:pt>
                <c:pt idx="89">
                  <c:v>4.3584637558468113E-4</c:v>
                </c:pt>
                <c:pt idx="90">
                  <c:v>2.5654300165695634E-4</c:v>
                </c:pt>
                <c:pt idx="91">
                  <c:v>1.5167903933131787E-4</c:v>
                </c:pt>
                <c:pt idx="92">
                  <c:v>8.8431205694114703E-5</c:v>
                </c:pt>
                <c:pt idx="93">
                  <c:v>5.0870427413597854E-5</c:v>
                </c:pt>
                <c:pt idx="94">
                  <c:v>2.8782764175072958E-5</c:v>
                </c:pt>
                <c:pt idx="95">
                  <c:v>1.6022575134309223E-5</c:v>
                </c:pt>
                <c:pt idx="96">
                  <c:v>8.8181671204731635E-6</c:v>
                </c:pt>
                <c:pt idx="97">
                  <c:v>4.7705209301011694E-6</c:v>
                </c:pt>
                <c:pt idx="98">
                  <c:v>2.5455393019570996E-6</c:v>
                </c:pt>
                <c:pt idx="99">
                  <c:v>1.3369108202721599E-6</c:v>
                </c:pt>
              </c:numCache>
            </c:numRef>
          </c:yVal>
          <c:smooth val="1"/>
        </c:ser>
        <c:ser>
          <c:idx val="2"/>
          <c:order val="2"/>
          <c:tx>
            <c:v>Normal</c:v>
          </c:tx>
          <c:marker>
            <c:symbol val="none"/>
          </c:marker>
          <c:xVal>
            <c:numRef>
              <c:f>Combinada!$A$2:$A$101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Combinada!$E$2:$E$101</c:f>
              <c:numCache>
                <c:formatCode>General</c:formatCode>
                <c:ptCount val="100"/>
                <c:pt idx="0">
                  <c:v>2.3212028052342185E-10</c:v>
                </c:pt>
                <c:pt idx="1">
                  <c:v>5.3563211627802781E-10</c:v>
                </c:pt>
                <c:pt idx="2">
                  <c:v>1.1336852593319952E-9</c:v>
                </c:pt>
                <c:pt idx="3">
                  <c:v>2.6209404245682704E-9</c:v>
                </c:pt>
                <c:pt idx="4">
                  <c:v>5.5364677823696479E-9</c:v>
                </c:pt>
                <c:pt idx="5">
                  <c:v>1.2329827254284796E-8</c:v>
                </c:pt>
                <c:pt idx="6">
                  <c:v>2.5189693278783422E-8</c:v>
                </c:pt>
                <c:pt idx="7">
                  <c:v>5.3046180031618147E-8</c:v>
                </c:pt>
                <c:pt idx="8">
                  <c:v>1.0328004027982622E-7</c:v>
                </c:pt>
                <c:pt idx="9">
                  <c:v>2.2148598598942077E-7</c:v>
                </c:pt>
                <c:pt idx="10">
                  <c:v>4.3588074113095119E-7</c:v>
                </c:pt>
                <c:pt idx="11">
                  <c:v>8.5228343205615946E-7</c:v>
                </c:pt>
                <c:pt idx="12">
                  <c:v>1.5530176631290878E-6</c:v>
                </c:pt>
                <c:pt idx="13">
                  <c:v>2.9565396449349285E-6</c:v>
                </c:pt>
                <c:pt idx="14">
                  <c:v>5.7516705177463199E-6</c:v>
                </c:pt>
                <c:pt idx="15">
                  <c:v>1.0381887081845959E-5</c:v>
                </c:pt>
                <c:pt idx="16">
                  <c:v>1.8926809393955679E-5</c:v>
                </c:pt>
                <c:pt idx="17">
                  <c:v>3.3369824169296718E-5</c:v>
                </c:pt>
                <c:pt idx="18">
                  <c:v>5.8614688080330931E-5</c:v>
                </c:pt>
                <c:pt idx="19">
                  <c:v>1.0181712915365684E-4</c:v>
                </c:pt>
                <c:pt idx="20">
                  <c:v>1.7399258260147087E-4</c:v>
                </c:pt>
                <c:pt idx="21">
                  <c:v>2.9720105803938767E-4</c:v>
                </c:pt>
                <c:pt idx="22">
                  <c:v>4.8603601631683901E-4</c:v>
                </c:pt>
                <c:pt idx="23">
                  <c:v>8.009184648044411E-4</c:v>
                </c:pt>
                <c:pt idx="24">
                  <c:v>1.2807459659178349E-3</c:v>
                </c:pt>
                <c:pt idx="25">
                  <c:v>2.0379790904894502E-3</c:v>
                </c:pt>
                <c:pt idx="26">
                  <c:v>3.1725518051956354E-3</c:v>
                </c:pt>
                <c:pt idx="27">
                  <c:v>4.8717680221091117E-3</c:v>
                </c:pt>
                <c:pt idx="28">
                  <c:v>7.413783421689437E-3</c:v>
                </c:pt>
                <c:pt idx="29">
                  <c:v>1.1046152015068259E-2</c:v>
                </c:pt>
                <c:pt idx="30">
                  <c:v>1.6201448252133946E-2</c:v>
                </c:pt>
                <c:pt idx="31">
                  <c:v>2.3590940198079065E-2</c:v>
                </c:pt>
                <c:pt idx="32">
                  <c:v>3.3599820744120504E-2</c:v>
                </c:pt>
                <c:pt idx="33">
                  <c:v>4.7195397109080495E-2</c:v>
                </c:pt>
                <c:pt idx="34">
                  <c:v>6.5436755244914283E-2</c:v>
                </c:pt>
                <c:pt idx="35">
                  <c:v>8.9569016216112129E-2</c:v>
                </c:pt>
                <c:pt idx="36">
                  <c:v>0.12034169420582741</c:v>
                </c:pt>
                <c:pt idx="37">
                  <c:v>0.15933165648474718</c:v>
                </c:pt>
                <c:pt idx="38">
                  <c:v>0.20788206849248761</c:v>
                </c:pt>
                <c:pt idx="39">
                  <c:v>0.26768906455435648</c:v>
                </c:pt>
                <c:pt idx="40">
                  <c:v>0.33886654475515199</c:v>
                </c:pt>
                <c:pt idx="41">
                  <c:v>0.42350981373521468</c:v>
                </c:pt>
                <c:pt idx="42">
                  <c:v>0.52074994833266453</c:v>
                </c:pt>
                <c:pt idx="43">
                  <c:v>0.63056835321890226</c:v>
                </c:pt>
                <c:pt idx="44">
                  <c:v>0.75281094867544218</c:v>
                </c:pt>
                <c:pt idx="45">
                  <c:v>0.88533749079970558</c:v>
                </c:pt>
                <c:pt idx="46">
                  <c:v>1.0256654266342375</c:v>
                </c:pt>
                <c:pt idx="47">
                  <c:v>1.1704439846242369</c:v>
                </c:pt>
                <c:pt idx="48">
                  <c:v>1.3164626139708626</c:v>
                </c:pt>
                <c:pt idx="49">
                  <c:v>1.4583888037748165</c:v>
                </c:pt>
                <c:pt idx="50">
                  <c:v>1.5914925901543202</c:v>
                </c:pt>
                <c:pt idx="51">
                  <c:v>1.7114208211234256</c:v>
                </c:pt>
                <c:pt idx="52">
                  <c:v>1.8129543993183799</c:v>
                </c:pt>
                <c:pt idx="53">
                  <c:v>1.8921491850218179</c:v>
                </c:pt>
                <c:pt idx="54">
                  <c:v>1.9454481070287024</c:v>
                </c:pt>
                <c:pt idx="55">
                  <c:v>1.9706818000962494</c:v>
                </c:pt>
                <c:pt idx="56">
                  <c:v>1.9666797220460526</c:v>
                </c:pt>
                <c:pt idx="57">
                  <c:v>1.9335884009781874</c:v>
                </c:pt>
                <c:pt idx="58">
                  <c:v>1.8729558358588871</c:v>
                </c:pt>
                <c:pt idx="59">
                  <c:v>1.7872590689408723</c:v>
                </c:pt>
                <c:pt idx="60">
                  <c:v>1.6800285242777382</c:v>
                </c:pt>
                <c:pt idx="61">
                  <c:v>1.5564879668536094</c:v>
                </c:pt>
                <c:pt idx="62">
                  <c:v>1.4199295777124208</c:v>
                </c:pt>
                <c:pt idx="63">
                  <c:v>1.2764704188023661</c:v>
                </c:pt>
                <c:pt idx="64">
                  <c:v>1.130926662712638</c:v>
                </c:pt>
                <c:pt idx="65">
                  <c:v>0.98682344385365661</c:v>
                </c:pt>
                <c:pt idx="66">
                  <c:v>0.84829819298221099</c:v>
                </c:pt>
                <c:pt idx="67">
                  <c:v>0.71804547695116316</c:v>
                </c:pt>
                <c:pt idx="68">
                  <c:v>0.59934562093101373</c:v>
                </c:pt>
                <c:pt idx="69">
                  <c:v>0.49276400673503162</c:v>
                </c:pt>
                <c:pt idx="70">
                  <c:v>0.39903900782040014</c:v>
                </c:pt>
                <c:pt idx="71">
                  <c:v>0.31831599095505364</c:v>
                </c:pt>
                <c:pt idx="72">
                  <c:v>0.25020137768857953</c:v>
                </c:pt>
                <c:pt idx="73">
                  <c:v>0.19371098005249709</c:v>
                </c:pt>
                <c:pt idx="74">
                  <c:v>0.14781738640273373</c:v>
                </c:pt>
                <c:pt idx="75">
                  <c:v>0.11109546446067078</c:v>
                </c:pt>
                <c:pt idx="76">
                  <c:v>8.2261468952495961E-2</c:v>
                </c:pt>
                <c:pt idx="77">
                  <c:v>6.0038510858674621E-2</c:v>
                </c:pt>
                <c:pt idx="78">
                  <c:v>4.3136455786773061E-2</c:v>
                </c:pt>
                <c:pt idx="79">
                  <c:v>3.0558315237788417E-2</c:v>
                </c:pt>
                <c:pt idx="80">
                  <c:v>2.1316776295189126E-2</c:v>
                </c:pt>
                <c:pt idx="81">
                  <c:v>1.4646854831128332E-2</c:v>
                </c:pt>
                <c:pt idx="82">
                  <c:v>9.917830146348422E-3</c:v>
                </c:pt>
                <c:pt idx="83">
                  <c:v>6.6163010053767925E-3</c:v>
                </c:pt>
                <c:pt idx="84">
                  <c:v>4.3468011806633159E-3</c:v>
                </c:pt>
                <c:pt idx="85">
                  <c:v>2.8124073238346161E-3</c:v>
                </c:pt>
                <c:pt idx="86">
                  <c:v>1.7976287950684853E-3</c:v>
                </c:pt>
                <c:pt idx="87">
                  <c:v>1.1300371781530641E-3</c:v>
                </c:pt>
                <c:pt idx="88">
                  <c:v>6.9893531208128988E-4</c:v>
                </c:pt>
                <c:pt idx="89">
                  <c:v>4.2563349719373076E-4</c:v>
                </c:pt>
                <c:pt idx="90">
                  <c:v>2.5623810431851519E-4</c:v>
                </c:pt>
                <c:pt idx="91">
                  <c:v>1.5167531121885981E-4</c:v>
                </c:pt>
                <c:pt idx="92">
                  <c:v>8.8431190449529879E-5</c:v>
                </c:pt>
                <c:pt idx="93">
                  <c:v>5.0870427397231429E-5</c:v>
                </c:pt>
                <c:pt idx="94">
                  <c:v>2.878276417506976E-5</c:v>
                </c:pt>
                <c:pt idx="95">
                  <c:v>1.6022575134309223E-5</c:v>
                </c:pt>
                <c:pt idx="96">
                  <c:v>8.8181671204731635E-6</c:v>
                </c:pt>
                <c:pt idx="97">
                  <c:v>4.7705209301011694E-6</c:v>
                </c:pt>
                <c:pt idx="98">
                  <c:v>2.5455393019570996E-6</c:v>
                </c:pt>
                <c:pt idx="99">
                  <c:v>1.3369108202721599E-6</c:v>
                </c:pt>
              </c:numCache>
            </c:numRef>
          </c:yVal>
          <c:smooth val="1"/>
        </c:ser>
        <c:ser>
          <c:idx val="3"/>
          <c:order val="3"/>
          <c:tx>
            <c:v>Weibull</c:v>
          </c:tx>
          <c:marker>
            <c:symbol val="none"/>
          </c:marker>
          <c:xVal>
            <c:numRef>
              <c:f>Combinada!$A$2:$A$101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Combinada!$F$2:$F$101</c:f>
              <c:numCache>
                <c:formatCode>General</c:formatCode>
                <c:ptCount val="100"/>
                <c:pt idx="0">
                  <c:v>6.6776357039017708E-4</c:v>
                </c:pt>
                <c:pt idx="1">
                  <c:v>7.571179610424035E-4</c:v>
                </c:pt>
                <c:pt idx="2">
                  <c:v>8.4909331365486649E-4</c:v>
                </c:pt>
                <c:pt idx="3">
                  <c:v>9.6751954112037097E-4</c:v>
                </c:pt>
                <c:pt idx="4">
                  <c:v>1.08955285593075E-3</c:v>
                </c:pt>
                <c:pt idx="5">
                  <c:v>1.2404526380747792E-3</c:v>
                </c:pt>
                <c:pt idx="6">
                  <c:v>1.3959193684289378E-3</c:v>
                </c:pt>
                <c:pt idx="7">
                  <c:v>1.5827092500877236E-3</c:v>
                </c:pt>
                <c:pt idx="8">
                  <c:v>1.7749780675187629E-3</c:v>
                </c:pt>
                <c:pt idx="9">
                  <c:v>2.0297270979740801E-3</c:v>
                </c:pt>
                <c:pt idx="10">
                  <c:v>2.2924392177291132E-3</c:v>
                </c:pt>
                <c:pt idx="11">
                  <c:v>2.5930903316359732E-3</c:v>
                </c:pt>
                <c:pt idx="12">
                  <c:v>2.902400008785519E-3</c:v>
                </c:pt>
                <c:pt idx="13">
                  <c:v>3.28431304979182E-3</c:v>
                </c:pt>
                <c:pt idx="14">
                  <c:v>3.7437762600604566E-3</c:v>
                </c:pt>
                <c:pt idx="15">
                  <c:v>4.2172721709178487E-3</c:v>
                </c:pt>
                <c:pt idx="16">
                  <c:v>4.774519500243774E-3</c:v>
                </c:pt>
                <c:pt idx="17">
                  <c:v>5.3842772725788942E-3</c:v>
                </c:pt>
                <c:pt idx="18">
                  <c:v>6.0860079260551606E-3</c:v>
                </c:pt>
                <c:pt idx="19">
                  <c:v>6.8849342673212152E-3</c:v>
                </c:pt>
                <c:pt idx="20">
                  <c:v>7.7863205406744638E-3</c:v>
                </c:pt>
                <c:pt idx="21">
                  <c:v>8.8364068046873061E-3</c:v>
                </c:pt>
                <c:pt idx="22">
                  <c:v>9.9596861584342264E-3</c:v>
                </c:pt>
                <c:pt idx="23">
                  <c:v>1.1288035369849328E-2</c:v>
                </c:pt>
                <c:pt idx="24">
                  <c:v>1.2744709402710313E-2</c:v>
                </c:pt>
                <c:pt idx="25">
                  <c:v>1.4426980917745885E-2</c:v>
                </c:pt>
                <c:pt idx="26">
                  <c:v>1.6300372353493173E-2</c:v>
                </c:pt>
                <c:pt idx="27">
                  <c:v>1.8422715611102182E-2</c:v>
                </c:pt>
                <c:pt idx="28">
                  <c:v>2.0857507918575355E-2</c:v>
                </c:pt>
                <c:pt idx="29">
                  <c:v>2.3570385942334342E-2</c:v>
                </c:pt>
                <c:pt idx="30">
                  <c:v>2.6627833763160195E-2</c:v>
                </c:pt>
                <c:pt idx="31">
                  <c:v>3.0157547862965581E-2</c:v>
                </c:pt>
                <c:pt idx="32">
                  <c:v>3.4073283968344241E-2</c:v>
                </c:pt>
                <c:pt idx="33">
                  <c:v>3.8509246223833046E-2</c:v>
                </c:pt>
                <c:pt idx="34">
                  <c:v>4.355291960046774E-2</c:v>
                </c:pt>
                <c:pt idx="35">
                  <c:v>4.9298881628861216E-2</c:v>
                </c:pt>
                <c:pt idx="36">
                  <c:v>5.5721311372538239E-2</c:v>
                </c:pt>
                <c:pt idx="37">
                  <c:v>6.2984103859862056E-2</c:v>
                </c:pt>
                <c:pt idx="38">
                  <c:v>7.1198482552042447E-2</c:v>
                </c:pt>
                <c:pt idx="39">
                  <c:v>8.0553205529838939E-2</c:v>
                </c:pt>
                <c:pt idx="40">
                  <c:v>9.10376684511955E-2</c:v>
                </c:pt>
                <c:pt idx="41">
                  <c:v>0.1030025693877067</c:v>
                </c:pt>
                <c:pt idx="42">
                  <c:v>0.11645165501855409</c:v>
                </c:pt>
                <c:pt idx="43">
                  <c:v>0.13161476009012932</c:v>
                </c:pt>
                <c:pt idx="44">
                  <c:v>0.14881969327745218</c:v>
                </c:pt>
                <c:pt idx="45">
                  <c:v>0.16825491904918433</c:v>
                </c:pt>
                <c:pt idx="46">
                  <c:v>0.19020277051010925</c:v>
                </c:pt>
                <c:pt idx="47">
                  <c:v>0.21496316171491173</c:v>
                </c:pt>
                <c:pt idx="48">
                  <c:v>0.2430345365754332</c:v>
                </c:pt>
                <c:pt idx="49">
                  <c:v>0.27467282134633647</c:v>
                </c:pt>
                <c:pt idx="50">
                  <c:v>0.31033095026435226</c:v>
                </c:pt>
                <c:pt idx="51">
                  <c:v>0.35068324892070307</c:v>
                </c:pt>
                <c:pt idx="52">
                  <c:v>0.39614368973572267</c:v>
                </c:pt>
                <c:pt idx="53">
                  <c:v>0.44744553482434696</c:v>
                </c:pt>
                <c:pt idx="54">
                  <c:v>0.50514302245672249</c:v>
                </c:pt>
                <c:pt idx="55">
                  <c:v>0.57012296238711735</c:v>
                </c:pt>
                <c:pt idx="56">
                  <c:v>0.64318538428265093</c:v>
                </c:pt>
                <c:pt idx="57">
                  <c:v>0.72524249256666429</c:v>
                </c:pt>
                <c:pt idx="58">
                  <c:v>0.81707443534882529</c:v>
                </c:pt>
                <c:pt idx="59">
                  <c:v>0.91987896034599581</c:v>
                </c:pt>
                <c:pt idx="60">
                  <c:v>1.0346637912872023</c:v>
                </c:pt>
                <c:pt idx="61">
                  <c:v>1.1614435055053733</c:v>
                </c:pt>
                <c:pt idx="62">
                  <c:v>1.3025443073180338</c:v>
                </c:pt>
                <c:pt idx="63">
                  <c:v>1.4572939330813237</c:v>
                </c:pt>
                <c:pt idx="64">
                  <c:v>1.6257430641617925</c:v>
                </c:pt>
                <c:pt idx="65">
                  <c:v>1.8084572615557499</c:v>
                </c:pt>
                <c:pt idx="66">
                  <c:v>2.0038113691740458</c:v>
                </c:pt>
                <c:pt idx="67">
                  <c:v>2.2100051969166552</c:v>
                </c:pt>
                <c:pt idx="68">
                  <c:v>2.4213440709023621</c:v>
                </c:pt>
                <c:pt idx="69">
                  <c:v>2.6332443205382927</c:v>
                </c:pt>
                <c:pt idx="70">
                  <c:v>2.8372066393900202</c:v>
                </c:pt>
                <c:pt idx="71">
                  <c:v>3.021585485520887</c:v>
                </c:pt>
                <c:pt idx="72">
                  <c:v>3.1715241246441255</c:v>
                </c:pt>
                <c:pt idx="73">
                  <c:v>3.269646811588014</c:v>
                </c:pt>
                <c:pt idx="74">
                  <c:v>3.2963225020536453</c:v>
                </c:pt>
                <c:pt idx="75">
                  <c:v>3.2324674867440932</c:v>
                </c:pt>
                <c:pt idx="76">
                  <c:v>3.0626922779747461</c:v>
                </c:pt>
                <c:pt idx="77">
                  <c:v>2.7810757062610474</c:v>
                </c:pt>
                <c:pt idx="78">
                  <c:v>2.3943892346133628</c:v>
                </c:pt>
                <c:pt idx="79">
                  <c:v>1.9311643587555056</c:v>
                </c:pt>
                <c:pt idx="80">
                  <c:v>1.4351006675965932</c:v>
                </c:pt>
                <c:pt idx="81">
                  <c:v>0.96346509236423528</c:v>
                </c:pt>
                <c:pt idx="82">
                  <c:v>0.57056654220440883</c:v>
                </c:pt>
                <c:pt idx="83">
                  <c:v>0.28907264262562271</c:v>
                </c:pt>
                <c:pt idx="84">
                  <c:v>0.12055815423499318</c:v>
                </c:pt>
                <c:pt idx="85">
                  <c:v>3.947366481380004E-2</c:v>
                </c:pt>
                <c:pt idx="86">
                  <c:v>9.6712782118205474E-3</c:v>
                </c:pt>
                <c:pt idx="87">
                  <c:v>1.6286404317909055E-3</c:v>
                </c:pt>
                <c:pt idx="88">
                  <c:v>1.7208988821585568E-4</c:v>
                </c:pt>
                <c:pt idx="89">
                  <c:v>1.0212878390950386E-5</c:v>
                </c:pt>
                <c:pt idx="90">
                  <c:v>3.0489733844115013E-7</c:v>
                </c:pt>
                <c:pt idx="91">
                  <c:v>3.7281124580552476E-9</c:v>
                </c:pt>
                <c:pt idx="92">
                  <c:v>1.5244584825536766E-11</c:v>
                </c:pt>
                <c:pt idx="93">
                  <c:v>1.6366424060168855E-14</c:v>
                </c:pt>
                <c:pt idx="94">
                  <c:v>3.1976642923116972E-18</c:v>
                </c:pt>
                <c:pt idx="95">
                  <c:v>7.5028883698245813E-23</c:v>
                </c:pt>
                <c:pt idx="96">
                  <c:v>1.4108464582552116E-28</c:v>
                </c:pt>
                <c:pt idx="97">
                  <c:v>1.0081051925394685E-35</c:v>
                </c:pt>
                <c:pt idx="98">
                  <c:v>1.3700281351654489E-44</c:v>
                </c:pt>
                <c:pt idx="99">
                  <c:v>1.2618710687680687E-55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37984"/>
        <c:axId val="372139520"/>
      </c:scatterChart>
      <c:valAx>
        <c:axId val="372137984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2139520"/>
        <c:crosses val="autoZero"/>
        <c:crossBetween val="midCat"/>
      </c:valAx>
      <c:valAx>
        <c:axId val="37213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137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Coulter</c:v>
          </c:tx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Weibull!$B$2:$B$101</c:f>
              <c:numCache>
                <c:formatCode>General</c:formatCode>
                <c:ptCount val="100"/>
                <c:pt idx="0">
                  <c:v>3.87418E-4</c:v>
                </c:pt>
                <c:pt idx="1">
                  <c:v>5.0642799999999996E-4</c:v>
                </c:pt>
                <c:pt idx="2">
                  <c:v>8.0523499999999996E-4</c:v>
                </c:pt>
                <c:pt idx="3">
                  <c:v>1.61151E-3</c:v>
                </c:pt>
                <c:pt idx="4">
                  <c:v>3.3680200000000002E-3</c:v>
                </c:pt>
                <c:pt idx="5">
                  <c:v>6.2779699999999999E-3</c:v>
                </c:pt>
                <c:pt idx="6">
                  <c:v>9.6538700000000002E-3</c:v>
                </c:pt>
                <c:pt idx="7">
                  <c:v>1.2866900000000001E-2</c:v>
                </c:pt>
                <c:pt idx="8">
                  <c:v>1.6003199999999999E-2</c:v>
                </c:pt>
                <c:pt idx="9">
                  <c:v>1.9402099999999999E-2</c:v>
                </c:pt>
                <c:pt idx="10">
                  <c:v>2.2970000000000001E-2</c:v>
                </c:pt>
                <c:pt idx="11">
                  <c:v>2.64093E-2</c:v>
                </c:pt>
                <c:pt idx="12">
                  <c:v>2.9835199999999999E-2</c:v>
                </c:pt>
                <c:pt idx="13">
                  <c:v>3.3326300000000003E-2</c:v>
                </c:pt>
                <c:pt idx="14">
                  <c:v>3.6864000000000001E-2</c:v>
                </c:pt>
                <c:pt idx="15">
                  <c:v>4.0454999999999998E-2</c:v>
                </c:pt>
                <c:pt idx="16">
                  <c:v>4.42911E-2</c:v>
                </c:pt>
                <c:pt idx="17">
                  <c:v>4.854E-2</c:v>
                </c:pt>
                <c:pt idx="18">
                  <c:v>5.3223899999999998E-2</c:v>
                </c:pt>
                <c:pt idx="19">
                  <c:v>5.8327400000000001E-2</c:v>
                </c:pt>
                <c:pt idx="20">
                  <c:v>6.3824699999999998E-2</c:v>
                </c:pt>
                <c:pt idx="21">
                  <c:v>6.9753200000000001E-2</c:v>
                </c:pt>
                <c:pt idx="22">
                  <c:v>7.5976000000000002E-2</c:v>
                </c:pt>
                <c:pt idx="23">
                  <c:v>8.2492499999999996E-2</c:v>
                </c:pt>
                <c:pt idx="24">
                  <c:v>8.9397099999999993E-2</c:v>
                </c:pt>
                <c:pt idx="25">
                  <c:v>9.70641E-2</c:v>
                </c:pt>
                <c:pt idx="26">
                  <c:v>0.10553999999999999</c:v>
                </c:pt>
                <c:pt idx="27">
                  <c:v>0.11480899999999999</c:v>
                </c:pt>
                <c:pt idx="28">
                  <c:v>0.124846</c:v>
                </c:pt>
                <c:pt idx="29">
                  <c:v>0.135967</c:v>
                </c:pt>
                <c:pt idx="30">
                  <c:v>0.148339</c:v>
                </c:pt>
                <c:pt idx="31">
                  <c:v>0.162052</c:v>
                </c:pt>
                <c:pt idx="32">
                  <c:v>0.177144</c:v>
                </c:pt>
                <c:pt idx="33">
                  <c:v>0.19392300000000001</c:v>
                </c:pt>
                <c:pt idx="34">
                  <c:v>0.21282499999999999</c:v>
                </c:pt>
                <c:pt idx="35">
                  <c:v>0.23433200000000001</c:v>
                </c:pt>
                <c:pt idx="36">
                  <c:v>0.25890400000000002</c:v>
                </c:pt>
                <c:pt idx="37">
                  <c:v>0.28695300000000001</c:v>
                </c:pt>
                <c:pt idx="38">
                  <c:v>0.31918800000000003</c:v>
                </c:pt>
                <c:pt idx="39">
                  <c:v>0.35650700000000002</c:v>
                </c:pt>
                <c:pt idx="40">
                  <c:v>0.40020800000000001</c:v>
                </c:pt>
                <c:pt idx="41">
                  <c:v>0.45141700000000001</c:v>
                </c:pt>
                <c:pt idx="42">
                  <c:v>0.51127999999999996</c:v>
                </c:pt>
                <c:pt idx="43">
                  <c:v>0.58056399999999997</c:v>
                </c:pt>
                <c:pt idx="44">
                  <c:v>0.65978199999999998</c:v>
                </c:pt>
                <c:pt idx="45">
                  <c:v>0.74883999999999995</c:v>
                </c:pt>
                <c:pt idx="46">
                  <c:v>0.84682500000000005</c:v>
                </c:pt>
                <c:pt idx="47">
                  <c:v>0.95206000000000002</c:v>
                </c:pt>
                <c:pt idx="48">
                  <c:v>1.06227</c:v>
                </c:pt>
                <c:pt idx="49">
                  <c:v>1.17533</c:v>
                </c:pt>
                <c:pt idx="50">
                  <c:v>1.28887</c:v>
                </c:pt>
                <c:pt idx="51">
                  <c:v>1.40042</c:v>
                </c:pt>
                <c:pt idx="52">
                  <c:v>1.50725</c:v>
                </c:pt>
                <c:pt idx="53">
                  <c:v>1.6076999999999999</c:v>
                </c:pt>
                <c:pt idx="54">
                  <c:v>1.7014</c:v>
                </c:pt>
                <c:pt idx="55">
                  <c:v>1.7890699999999999</c:v>
                </c:pt>
                <c:pt idx="56">
                  <c:v>1.8712200000000001</c:v>
                </c:pt>
                <c:pt idx="57">
                  <c:v>1.9473499999999999</c:v>
                </c:pt>
                <c:pt idx="58">
                  <c:v>2.0177200000000002</c:v>
                </c:pt>
                <c:pt idx="59">
                  <c:v>2.0840900000000002</c:v>
                </c:pt>
                <c:pt idx="60">
                  <c:v>2.1501100000000002</c:v>
                </c:pt>
                <c:pt idx="61">
                  <c:v>2.21773</c:v>
                </c:pt>
                <c:pt idx="62">
                  <c:v>2.2873999999999999</c:v>
                </c:pt>
                <c:pt idx="63">
                  <c:v>2.35799</c:v>
                </c:pt>
                <c:pt idx="64">
                  <c:v>2.4299499999999998</c:v>
                </c:pt>
                <c:pt idx="65">
                  <c:v>2.5098699999999998</c:v>
                </c:pt>
                <c:pt idx="66">
                  <c:v>2.6080899999999998</c:v>
                </c:pt>
                <c:pt idx="67">
                  <c:v>2.7402099999999998</c:v>
                </c:pt>
                <c:pt idx="68">
                  <c:v>2.9190800000000001</c:v>
                </c:pt>
                <c:pt idx="69">
                  <c:v>3.1524000000000001</c:v>
                </c:pt>
                <c:pt idx="70">
                  <c:v>3.4452799999999999</c:v>
                </c:pt>
                <c:pt idx="71">
                  <c:v>3.79359</c:v>
                </c:pt>
                <c:pt idx="72">
                  <c:v>4.1893000000000002</c:v>
                </c:pt>
                <c:pt idx="73">
                  <c:v>4.6103300000000003</c:v>
                </c:pt>
                <c:pt idx="74">
                  <c:v>4.9996900000000002</c:v>
                </c:pt>
                <c:pt idx="75">
                  <c:v>5.2633099999999997</c:v>
                </c:pt>
                <c:pt idx="76">
                  <c:v>5.2664999999999997</c:v>
                </c:pt>
                <c:pt idx="77">
                  <c:v>4.8805800000000001</c:v>
                </c:pt>
                <c:pt idx="78">
                  <c:v>4.0739799999999997</c:v>
                </c:pt>
                <c:pt idx="79">
                  <c:v>2.9585900000000001</c:v>
                </c:pt>
                <c:pt idx="80">
                  <c:v>1.7473099999999999</c:v>
                </c:pt>
                <c:pt idx="81">
                  <c:v>0.76843300000000003</c:v>
                </c:pt>
                <c:pt idx="82">
                  <c:v>0.21720500000000001</c:v>
                </c:pt>
                <c:pt idx="83">
                  <c:v>3.2522200000000001E-2</c:v>
                </c:pt>
                <c:pt idx="84">
                  <c:v>1.93845E-3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4"/>
          <c:order val="1"/>
          <c:tx>
            <c:v>Weibull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Weibull!$A$2:$A$101</c:f>
              <c:numCache>
                <c:formatCode>General</c:formatCode>
                <c:ptCount val="100"/>
                <c:pt idx="0">
                  <c:v>0.04</c:v>
                </c:pt>
                <c:pt idx="1">
                  <c:v>4.3999999999999997E-2</c:v>
                </c:pt>
                <c:pt idx="2">
                  <c:v>4.8000000000000001E-2</c:v>
                </c:pt>
                <c:pt idx="3">
                  <c:v>5.2999999999999999E-2</c:v>
                </c:pt>
                <c:pt idx="4">
                  <c:v>5.8000000000000003E-2</c:v>
                </c:pt>
                <c:pt idx="5">
                  <c:v>6.4000000000000001E-2</c:v>
                </c:pt>
                <c:pt idx="6">
                  <c:v>7.0000000000000007E-2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9.2999999999999999E-2</c:v>
                </c:pt>
                <c:pt idx="10">
                  <c:v>0.10199999999999999</c:v>
                </c:pt>
                <c:pt idx="11">
                  <c:v>0.112</c:v>
                </c:pt>
                <c:pt idx="12">
                  <c:v>0.122</c:v>
                </c:pt>
                <c:pt idx="13">
                  <c:v>0.13400000000000001</c:v>
                </c:pt>
                <c:pt idx="14">
                  <c:v>0.14799999999999999</c:v>
                </c:pt>
                <c:pt idx="15">
                  <c:v>0.16200000000000001</c:v>
                </c:pt>
                <c:pt idx="16">
                  <c:v>0.17799999999999999</c:v>
                </c:pt>
                <c:pt idx="17">
                  <c:v>0.19500000000000001</c:v>
                </c:pt>
                <c:pt idx="18">
                  <c:v>0.214</c:v>
                </c:pt>
                <c:pt idx="19">
                  <c:v>0.23499999999999999</c:v>
                </c:pt>
                <c:pt idx="20">
                  <c:v>0.25800000000000001</c:v>
                </c:pt>
                <c:pt idx="21">
                  <c:v>0.28399999999999997</c:v>
                </c:pt>
                <c:pt idx="22">
                  <c:v>0.311</c:v>
                </c:pt>
                <c:pt idx="23">
                  <c:v>0.34200000000000003</c:v>
                </c:pt>
                <c:pt idx="24" formatCode="0.000">
                  <c:v>0.375</c:v>
                </c:pt>
                <c:pt idx="25" formatCode="0.000">
                  <c:v>0.41199999999999998</c:v>
                </c:pt>
                <c:pt idx="26" formatCode="0.000">
                  <c:v>0.45200000000000001</c:v>
                </c:pt>
                <c:pt idx="27" formatCode="0.000">
                  <c:v>0.496</c:v>
                </c:pt>
                <c:pt idx="28" formatCode="0.000">
                  <c:v>0.54500000000000004</c:v>
                </c:pt>
                <c:pt idx="29" formatCode="0.000">
                  <c:v>0.59799999999999998</c:v>
                </c:pt>
                <c:pt idx="30" formatCode="0.000">
                  <c:v>0.65600000000000003</c:v>
                </c:pt>
                <c:pt idx="31" formatCode="0.000">
                  <c:v>0.72099999999999997</c:v>
                </c:pt>
                <c:pt idx="32" formatCode="0.000">
                  <c:v>0.79100000000000004</c:v>
                </c:pt>
                <c:pt idx="33" formatCode="0.000">
                  <c:v>0.86799999999999999</c:v>
                </c:pt>
                <c:pt idx="34" formatCode="0.000">
                  <c:v>0.95299999999999996</c:v>
                </c:pt>
                <c:pt idx="35" formatCode="#,##0.000">
                  <c:v>1.0469999999999999</c:v>
                </c:pt>
                <c:pt idx="36" formatCode="#,##0.000">
                  <c:v>1.149</c:v>
                </c:pt>
                <c:pt idx="37" formatCode="#,##0.000">
                  <c:v>1.2609999999999999</c:v>
                </c:pt>
                <c:pt idx="38" formatCode="#,##0.000">
                  <c:v>1.3839999999999999</c:v>
                </c:pt>
                <c:pt idx="39" formatCode="#,##0.000">
                  <c:v>1.52</c:v>
                </c:pt>
                <c:pt idx="40" formatCode="#,##0.000">
                  <c:v>1.6679999999999999</c:v>
                </c:pt>
                <c:pt idx="41" formatCode="#,##0.000">
                  <c:v>1.8320000000000001</c:v>
                </c:pt>
                <c:pt idx="42" formatCode="#,##0.000">
                  <c:v>2.0110000000000001</c:v>
                </c:pt>
                <c:pt idx="43" formatCode="#,##0.000">
                  <c:v>2.2069999999999999</c:v>
                </c:pt>
                <c:pt idx="44" formatCode="#,##0.000">
                  <c:v>2.423</c:v>
                </c:pt>
                <c:pt idx="45" formatCode="#,##0.000">
                  <c:v>2.66</c:v>
                </c:pt>
                <c:pt idx="46" formatCode="#,##0.000">
                  <c:v>2.92</c:v>
                </c:pt>
                <c:pt idx="47" formatCode="#,##0.000">
                  <c:v>3.2050000000000001</c:v>
                </c:pt>
                <c:pt idx="48" formatCode="#,##0.000">
                  <c:v>3.5190000000000001</c:v>
                </c:pt>
                <c:pt idx="49" formatCode="#,##0.000">
                  <c:v>3.863</c:v>
                </c:pt>
                <c:pt idx="50" formatCode="#,##0.000">
                  <c:v>4.24</c:v>
                </c:pt>
                <c:pt idx="51" formatCode="#,##0.000">
                  <c:v>4.6550000000000002</c:v>
                </c:pt>
                <c:pt idx="52" formatCode="#,##0.000">
                  <c:v>5.1100000000000003</c:v>
                </c:pt>
                <c:pt idx="53" formatCode="#,##0.000">
                  <c:v>5.61</c:v>
                </c:pt>
                <c:pt idx="54" formatCode="#,##0.000">
                  <c:v>6.1580000000000004</c:v>
                </c:pt>
                <c:pt idx="55" formatCode="#,##0.000">
                  <c:v>6.76</c:v>
                </c:pt>
                <c:pt idx="56" formatCode="#,##0.000">
                  <c:v>7.4210000000000003</c:v>
                </c:pt>
                <c:pt idx="57" formatCode="#,##0.000">
                  <c:v>8.1470000000000002</c:v>
                </c:pt>
                <c:pt idx="58" formatCode="#,##0.000">
                  <c:v>8.9429999999999996</c:v>
                </c:pt>
                <c:pt idx="59" formatCode="#,##0.000">
                  <c:v>9.8179999999999996</c:v>
                </c:pt>
                <c:pt idx="60" formatCode="0.000">
                  <c:v>10.78</c:v>
                </c:pt>
                <c:pt idx="61" formatCode="0.000">
                  <c:v>11.83</c:v>
                </c:pt>
                <c:pt idx="62" formatCode="0.000">
                  <c:v>12.99</c:v>
                </c:pt>
                <c:pt idx="63" formatCode="0.000">
                  <c:v>14.26</c:v>
                </c:pt>
                <c:pt idx="64">
                  <c:v>15.65</c:v>
                </c:pt>
                <c:pt idx="65">
                  <c:v>17.18</c:v>
                </c:pt>
                <c:pt idx="66">
                  <c:v>18.86</c:v>
                </c:pt>
                <c:pt idx="67" formatCode="0.000">
                  <c:v>20.71</c:v>
                </c:pt>
                <c:pt idx="68">
                  <c:v>22.73</c:v>
                </c:pt>
                <c:pt idx="69">
                  <c:v>24.95</c:v>
                </c:pt>
                <c:pt idx="70">
                  <c:v>27.39</c:v>
                </c:pt>
                <c:pt idx="71">
                  <c:v>30.07</c:v>
                </c:pt>
                <c:pt idx="72">
                  <c:v>33.01</c:v>
                </c:pt>
                <c:pt idx="73">
                  <c:v>36.24</c:v>
                </c:pt>
                <c:pt idx="74">
                  <c:v>39.78</c:v>
                </c:pt>
                <c:pt idx="75">
                  <c:v>43.67</c:v>
                </c:pt>
                <c:pt idx="76">
                  <c:v>47.94</c:v>
                </c:pt>
                <c:pt idx="77">
                  <c:v>52.62</c:v>
                </c:pt>
                <c:pt idx="78">
                  <c:v>57.77</c:v>
                </c:pt>
                <c:pt idx="79">
                  <c:v>63.41</c:v>
                </c:pt>
                <c:pt idx="80">
                  <c:v>69.61</c:v>
                </c:pt>
                <c:pt idx="81">
                  <c:v>76.42</c:v>
                </c:pt>
                <c:pt idx="82">
                  <c:v>83.89</c:v>
                </c:pt>
                <c:pt idx="83">
                  <c:v>92.09</c:v>
                </c:pt>
                <c:pt idx="84">
                  <c:v>101.1</c:v>
                </c:pt>
                <c:pt idx="85">
                  <c:v>111</c:v>
                </c:pt>
                <c:pt idx="86">
                  <c:v>121.8</c:v>
                </c:pt>
                <c:pt idx="87">
                  <c:v>133.69999999999999</c:v>
                </c:pt>
                <c:pt idx="88">
                  <c:v>146.80000000000001</c:v>
                </c:pt>
                <c:pt idx="89">
                  <c:v>161.19999999999999</c:v>
                </c:pt>
                <c:pt idx="90">
                  <c:v>176.9</c:v>
                </c:pt>
                <c:pt idx="91">
                  <c:v>194.2</c:v>
                </c:pt>
                <c:pt idx="92">
                  <c:v>213.2</c:v>
                </c:pt>
                <c:pt idx="93">
                  <c:v>234</c:v>
                </c:pt>
                <c:pt idx="94">
                  <c:v>256.89999999999998</c:v>
                </c:pt>
                <c:pt idx="95">
                  <c:v>282.10000000000002</c:v>
                </c:pt>
                <c:pt idx="96">
                  <c:v>309.60000000000002</c:v>
                </c:pt>
                <c:pt idx="97">
                  <c:v>339.9</c:v>
                </c:pt>
                <c:pt idx="98">
                  <c:v>373.1</c:v>
                </c:pt>
                <c:pt idx="99">
                  <c:v>409.6</c:v>
                </c:pt>
              </c:numCache>
            </c:numRef>
          </c:xVal>
          <c:yVal>
            <c:numRef>
              <c:f>Weibull!$J$2:$J$118</c:f>
              <c:numCache>
                <c:formatCode>General</c:formatCode>
                <c:ptCount val="117"/>
                <c:pt idx="0">
                  <c:v>1.3361366114062497E-2</c:v>
                </c:pt>
                <c:pt idx="1">
                  <c:v>1.4498244530238111E-2</c:v>
                </c:pt>
                <c:pt idx="2">
                  <c:v>1.564696854030383E-2</c:v>
                </c:pt>
                <c:pt idx="3">
                  <c:v>1.7095014313901192E-2</c:v>
                </c:pt>
                <c:pt idx="4">
                  <c:v>1.8552866662748347E-2</c:v>
                </c:pt>
                <c:pt idx="5">
                  <c:v>2.031147013743333E-2</c:v>
                </c:pt>
                <c:pt idx="6">
                  <c:v>2.2077151296876436E-2</c:v>
                </c:pt>
                <c:pt idx="7">
                  <c:v>2.4143264493165447E-2</c:v>
                </c:pt>
                <c:pt idx="8">
                  <c:v>2.6213874697143449E-2</c:v>
                </c:pt>
                <c:pt idx="9">
                  <c:v>2.8880303309448897E-2</c:v>
                </c:pt>
                <c:pt idx="10">
                  <c:v>3.1549550459429844E-2</c:v>
                </c:pt>
                <c:pt idx="11">
                  <c:v>3.4517039361510467E-2</c:v>
                </c:pt>
                <c:pt idx="12">
                  <c:v>3.7485119484155886E-2</c:v>
                </c:pt>
                <c:pt idx="13">
                  <c:v>4.1046524898857378E-2</c:v>
                </c:pt>
                <c:pt idx="14">
                  <c:v>4.5200077078561579E-2</c:v>
                </c:pt>
                <c:pt idx="15">
                  <c:v>4.9351378045153223E-2</c:v>
                </c:pt>
                <c:pt idx="16">
                  <c:v>5.4092438334640079E-2</c:v>
                </c:pt>
                <c:pt idx="17">
                  <c:v>5.9125666056976486E-2</c:v>
                </c:pt>
                <c:pt idx="18">
                  <c:v>6.4745843206271539E-2</c:v>
                </c:pt>
                <c:pt idx="19">
                  <c:v>7.0951281778726186E-2</c:v>
                </c:pt>
                <c:pt idx="20">
                  <c:v>7.7740305338624277E-2</c:v>
                </c:pt>
                <c:pt idx="21">
                  <c:v>8.5405952736397672E-2</c:v>
                </c:pt>
                <c:pt idx="22">
                  <c:v>9.3356998576478403E-2</c:v>
                </c:pt>
                <c:pt idx="23">
                  <c:v>0.10247489025137324</c:v>
                </c:pt>
                <c:pt idx="24">
                  <c:v>0.1121689107829973</c:v>
                </c:pt>
                <c:pt idx="25">
                  <c:v>0.12302418601763628</c:v>
                </c:pt>
                <c:pt idx="26">
                  <c:v>0.13474444497843727</c:v>
                </c:pt>
                <c:pt idx="27">
                  <c:v>0.14761986054681389</c:v>
                </c:pt>
                <c:pt idx="28">
                  <c:v>0.1619390727578148</c:v>
                </c:pt>
                <c:pt idx="29">
                  <c:v>0.17740581272391265</c:v>
                </c:pt>
                <c:pt idx="30">
                  <c:v>0.19430774277553792</c:v>
                </c:pt>
                <c:pt idx="31">
                  <c:v>0.21322137245010228</c:v>
                </c:pt>
                <c:pt idx="32">
                  <c:v>0.23355794390073401</c:v>
                </c:pt>
                <c:pt idx="33">
                  <c:v>0.25589098850834424</c:v>
                </c:pt>
                <c:pt idx="34">
                  <c:v>0.28049975673940941</c:v>
                </c:pt>
                <c:pt idx="35">
                  <c:v>0.30765961784647461</c:v>
                </c:pt>
                <c:pt idx="36">
                  <c:v>0.33706507589261658</c:v>
                </c:pt>
                <c:pt idx="37">
                  <c:v>0.36927191777549123</c:v>
                </c:pt>
                <c:pt idx="38">
                  <c:v>0.40453910413506172</c:v>
                </c:pt>
                <c:pt idx="39">
                  <c:v>0.4434009987765905</c:v>
                </c:pt>
                <c:pt idx="40">
                  <c:v>0.48552240918155298</c:v>
                </c:pt>
                <c:pt idx="41">
                  <c:v>0.53197479955902949</c:v>
                </c:pt>
                <c:pt idx="42">
                  <c:v>0.58238564168500906</c:v>
                </c:pt>
                <c:pt idx="43">
                  <c:v>0.63720493551028146</c:v>
                </c:pt>
                <c:pt idx="44">
                  <c:v>0.69711558937972773</c:v>
                </c:pt>
                <c:pt idx="45">
                  <c:v>0.76218644674819624</c:v>
                </c:pt>
                <c:pt idx="46">
                  <c:v>0.83269529723302083</c:v>
                </c:pt>
                <c:pt idx="47">
                  <c:v>0.90882923724524134</c:v>
                </c:pt>
                <c:pt idx="48">
                  <c:v>0.99118158812956447</c:v>
                </c:pt>
                <c:pt idx="49">
                  <c:v>1.0793969596710351</c:v>
                </c:pt>
                <c:pt idx="50">
                  <c:v>1.1734611480836614</c:v>
                </c:pt>
                <c:pt idx="51">
                  <c:v>1.27359355098816</c:v>
                </c:pt>
                <c:pt idx="52">
                  <c:v>1.3789664964122867</c:v>
                </c:pt>
                <c:pt idx="53">
                  <c:v>1.4890959184947379</c:v>
                </c:pt>
                <c:pt idx="54">
                  <c:v>1.6026120632358405</c:v>
                </c:pt>
                <c:pt idx="55">
                  <c:v>1.7182840734834262</c:v>
                </c:pt>
                <c:pt idx="56">
                  <c:v>1.834101174547248</c:v>
                </c:pt>
                <c:pt idx="57">
                  <c:v>1.9476759854376486</c:v>
                </c:pt>
                <c:pt idx="58">
                  <c:v>2.0560035002466268</c:v>
                </c:pt>
                <c:pt idx="59">
                  <c:v>2.1563158441037467</c:v>
                </c:pt>
                <c:pt idx="60">
                  <c:v>2.2456315714576776</c:v>
                </c:pt>
                <c:pt idx="61">
                  <c:v>2.3211035016303998</c:v>
                </c:pt>
                <c:pt idx="62">
                  <c:v>2.3827456703702219</c:v>
                </c:pt>
                <c:pt idx="63">
                  <c:v>2.4314627717536283</c:v>
                </c:pt>
                <c:pt idx="64">
                  <c:v>2.4724405584379179</c:v>
                </c:pt>
                <c:pt idx="65">
                  <c:v>2.5155708964639487</c:v>
                </c:pt>
                <c:pt idx="66">
                  <c:v>2.5754972453756202</c:v>
                </c:pt>
                <c:pt idx="67">
                  <c:v>2.6718066547699344</c:v>
                </c:pt>
                <c:pt idx="68">
                  <c:v>2.8249515560912171</c:v>
                </c:pt>
                <c:pt idx="69">
                  <c:v>3.0548360278841447</c:v>
                </c:pt>
                <c:pt idx="70">
                  <c:v>3.3727244416986033</c:v>
                </c:pt>
                <c:pt idx="71">
                  <c:v>3.7742906566699443</c:v>
                </c:pt>
                <c:pt idx="72">
                  <c:v>4.233023492512026</c:v>
                </c:pt>
                <c:pt idx="73">
                  <c:v>4.6977343335182402</c:v>
                </c:pt>
                <c:pt idx="74">
                  <c:v>5.0891585061477222</c:v>
                </c:pt>
                <c:pt idx="75">
                  <c:v>5.308401670391925</c:v>
                </c:pt>
                <c:pt idx="76">
                  <c:v>5.2471885785439341</c:v>
                </c:pt>
                <c:pt idx="77">
                  <c:v>4.8207142135646448</c:v>
                </c:pt>
                <c:pt idx="78">
                  <c:v>4.0105720408629715</c:v>
                </c:pt>
                <c:pt idx="79">
                  <c:v>2.9227643114414472</c:v>
                </c:pt>
                <c:pt idx="80">
                  <c:v>1.7804790118685556</c:v>
                </c:pt>
                <c:pt idx="81">
                  <c:v>0.852367051437257</c:v>
                </c:pt>
                <c:pt idx="82">
                  <c:v>0.29549831378843233</c:v>
                </c:pt>
                <c:pt idx="83">
                  <c:v>6.6343919483154282E-2</c:v>
                </c:pt>
                <c:pt idx="84">
                  <c:v>8.2880931495847143E-3</c:v>
                </c:pt>
                <c:pt idx="85">
                  <c:v>4.7042708358470089E-4</c:v>
                </c:pt>
                <c:pt idx="86">
                  <c:v>9.8016223620192911E-6</c:v>
                </c:pt>
                <c:pt idx="87">
                  <c:v>3.2108919354319959E-7</c:v>
                </c:pt>
                <c:pt idx="88">
                  <c:v>2.5062938001808282E-7</c:v>
                </c:pt>
                <c:pt idx="89">
                  <c:v>2.2821025153998143E-7</c:v>
                </c:pt>
                <c:pt idx="90">
                  <c:v>2.0795537911870903E-7</c:v>
                </c:pt>
                <c:pt idx="91">
                  <c:v>1.8942887733986318E-7</c:v>
                </c:pt>
                <c:pt idx="92">
                  <c:v>1.7254613996482274E-7</c:v>
                </c:pt>
                <c:pt idx="93">
                  <c:v>1.5720749833347178E-7</c:v>
                </c:pt>
                <c:pt idx="94">
                  <c:v>1.4319283397135674E-7</c:v>
                </c:pt>
                <c:pt idx="95">
                  <c:v>1.304001782900201E-7</c:v>
                </c:pt>
                <c:pt idx="96">
                  <c:v>1.1881625114285775E-7</c:v>
                </c:pt>
                <c:pt idx="97">
                  <c:v>1.0822329687633145E-7</c:v>
                </c:pt>
                <c:pt idx="98">
                  <c:v>9.8591943886712754E-8</c:v>
                </c:pt>
                <c:pt idx="99">
                  <c:v>8.980511916439288E-8</c:v>
                </c:pt>
                <c:pt idx="100">
                  <c:v>8.1803289134226516E-8</c:v>
                </c:pt>
                <c:pt idx="101">
                  <c:v>7.4517087804433268E-8</c:v>
                </c:pt>
                <c:pt idx="102">
                  <c:v>6.7879512494512499E-8</c:v>
                </c:pt>
                <c:pt idx="103">
                  <c:v>6.1833980206829144E-8</c:v>
                </c:pt>
                <c:pt idx="104">
                  <c:v>5.632578877312871E-8</c:v>
                </c:pt>
                <c:pt idx="105">
                  <c:v>5.1308685202487827E-8</c:v>
                </c:pt>
                <c:pt idx="106">
                  <c:v>4.6738497745299302E-8</c:v>
                </c:pt>
                <c:pt idx="107">
                  <c:v>4.2574910963790133E-8</c:v>
                </c:pt>
                <c:pt idx="108">
                  <c:v>3.8782708429474044E-8</c:v>
                </c:pt>
                <c:pt idx="109">
                  <c:v>3.5329121312686719E-8</c:v>
                </c:pt>
                <c:pt idx="110">
                  <c:v>3.2181290947335024E-8</c:v>
                </c:pt>
                <c:pt idx="111">
                  <c:v>2.9315194045647966E-8</c:v>
                </c:pt>
                <c:pt idx="112">
                  <c:v>2.6702736851863228E-8</c:v>
                </c:pt>
                <c:pt idx="113">
                  <c:v>2.4324695911430768E-8</c:v>
                </c:pt>
                <c:pt idx="114">
                  <c:v>2.2157814077021244E-8</c:v>
                </c:pt>
                <c:pt idx="115">
                  <c:v>2.0183384389351978E-8</c:v>
                </c:pt>
                <c:pt idx="116">
                  <c:v>1.8385537634304756E-8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80800"/>
        <c:axId val="196782336"/>
      </c:scatterChart>
      <c:valAx>
        <c:axId val="196780800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782336"/>
        <c:crosses val="autoZero"/>
        <c:crossBetween val="midCat"/>
      </c:valAx>
      <c:valAx>
        <c:axId val="19678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78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0</xdr:row>
      <xdr:rowOff>171449</xdr:rowOff>
    </xdr:from>
    <xdr:to>
      <xdr:col>10</xdr:col>
      <xdr:colOff>465004</xdr:colOff>
      <xdr:row>4</xdr:row>
      <xdr:rowOff>171449</xdr:rowOff>
    </xdr:to>
    <xdr:pic>
      <xdr:nvPicPr>
        <xdr:cNvPr id="2" name="1 Imagen" descr="Logo-Cenieh-1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b="599"/>
        <a:stretch>
          <a:fillRect/>
        </a:stretch>
      </xdr:blipFill>
      <xdr:spPr>
        <a:xfrm>
          <a:off x="6934200" y="171449"/>
          <a:ext cx="1950904" cy="80962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12</xdr:row>
      <xdr:rowOff>0</xdr:rowOff>
    </xdr:from>
    <xdr:to>
      <xdr:col>13</xdr:col>
      <xdr:colOff>752475</xdr:colOff>
      <xdr:row>31</xdr:row>
      <xdr:rowOff>19050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17</xdr:row>
          <xdr:rowOff>0</xdr:rowOff>
        </xdr:from>
        <xdr:to>
          <xdr:col>5</xdr:col>
          <xdr:colOff>733425</xdr:colOff>
          <xdr:row>20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Modas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12</xdr:row>
          <xdr:rowOff>66675</xdr:rowOff>
        </xdr:from>
        <xdr:to>
          <xdr:col>5</xdr:col>
          <xdr:colOff>733425</xdr:colOff>
          <xdr:row>15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Moda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21</xdr:row>
          <xdr:rowOff>114300</xdr:rowOff>
        </xdr:from>
        <xdr:to>
          <xdr:col>5</xdr:col>
          <xdr:colOff>714375</xdr:colOff>
          <xdr:row>24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Modas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38100</xdr:rowOff>
        </xdr:from>
        <xdr:to>
          <xdr:col>5</xdr:col>
          <xdr:colOff>704850</xdr:colOff>
          <xdr:row>29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Modas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13</xdr:row>
      <xdr:rowOff>9525</xdr:rowOff>
    </xdr:from>
    <xdr:to>
      <xdr:col>5</xdr:col>
      <xdr:colOff>619125</xdr:colOff>
      <xdr:row>27</xdr:row>
      <xdr:rowOff>28575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12</xdr:row>
      <xdr:rowOff>28574</xdr:rowOff>
    </xdr:from>
    <xdr:to>
      <xdr:col>5</xdr:col>
      <xdr:colOff>271875</xdr:colOff>
      <xdr:row>31</xdr:row>
      <xdr:rowOff>9074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638175</xdr:colOff>
      <xdr:row>12</xdr:row>
      <xdr:rowOff>38100</xdr:rowOff>
    </xdr:from>
    <xdr:to>
      <xdr:col>11</xdr:col>
      <xdr:colOff>386175</xdr:colOff>
      <xdr:row>31</xdr:row>
      <xdr:rowOff>18600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</xdr:row>
          <xdr:rowOff>95250</xdr:rowOff>
        </xdr:from>
        <xdr:to>
          <xdr:col>7</xdr:col>
          <xdr:colOff>19050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180975</xdr:rowOff>
        </xdr:from>
        <xdr:to>
          <xdr:col>3</xdr:col>
          <xdr:colOff>28575</xdr:colOff>
          <xdr:row>6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180975</xdr:rowOff>
        </xdr:from>
        <xdr:to>
          <xdr:col>9</xdr:col>
          <xdr:colOff>0</xdr:colOff>
          <xdr:row>6</xdr:row>
          <xdr:rowOff>190500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12</xdr:row>
      <xdr:rowOff>28574</xdr:rowOff>
    </xdr:from>
    <xdr:to>
      <xdr:col>5</xdr:col>
      <xdr:colOff>271875</xdr:colOff>
      <xdr:row>31</xdr:row>
      <xdr:rowOff>9074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638175</xdr:colOff>
      <xdr:row>12</xdr:row>
      <xdr:rowOff>38100</xdr:rowOff>
    </xdr:from>
    <xdr:to>
      <xdr:col>11</xdr:col>
      <xdr:colOff>386175</xdr:colOff>
      <xdr:row>31</xdr:row>
      <xdr:rowOff>18600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723900</xdr:colOff>
      <xdr:row>12</xdr:row>
      <xdr:rowOff>38099</xdr:rowOff>
    </xdr:from>
    <xdr:to>
      <xdr:col>17</xdr:col>
      <xdr:colOff>471900</xdr:colOff>
      <xdr:row>31</xdr:row>
      <xdr:rowOff>18599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</xdr:row>
          <xdr:rowOff>95250</xdr:rowOff>
        </xdr:from>
        <xdr:to>
          <xdr:col>7</xdr:col>
          <xdr:colOff>19050</xdr:colOff>
          <xdr:row>5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3</xdr:col>
          <xdr:colOff>0</xdr:colOff>
          <xdr:row>6</xdr:row>
          <xdr:rowOff>190500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0</xdr:rowOff>
        </xdr:from>
        <xdr:to>
          <xdr:col>9</xdr:col>
          <xdr:colOff>0</xdr:colOff>
          <xdr:row>6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638175</xdr:colOff>
      <xdr:row>32</xdr:row>
      <xdr:rowOff>66675</xdr:rowOff>
    </xdr:from>
    <xdr:to>
      <xdr:col>11</xdr:col>
      <xdr:colOff>386175</xdr:colOff>
      <xdr:row>51</xdr:row>
      <xdr:rowOff>47175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12</xdr:row>
      <xdr:rowOff>28574</xdr:rowOff>
    </xdr:from>
    <xdr:to>
      <xdr:col>5</xdr:col>
      <xdr:colOff>271875</xdr:colOff>
      <xdr:row>31</xdr:row>
      <xdr:rowOff>9074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638175</xdr:colOff>
      <xdr:row>12</xdr:row>
      <xdr:rowOff>38100</xdr:rowOff>
    </xdr:from>
    <xdr:to>
      <xdr:col>11</xdr:col>
      <xdr:colOff>386175</xdr:colOff>
      <xdr:row>31</xdr:row>
      <xdr:rowOff>18600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</xdr:row>
          <xdr:rowOff>95250</xdr:rowOff>
        </xdr:from>
        <xdr:to>
          <xdr:col>7</xdr:col>
          <xdr:colOff>19050</xdr:colOff>
          <xdr:row>5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171450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180975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628650</xdr:colOff>
      <xdr:row>32</xdr:row>
      <xdr:rowOff>9525</xdr:rowOff>
    </xdr:from>
    <xdr:to>
      <xdr:col>11</xdr:col>
      <xdr:colOff>376650</xdr:colOff>
      <xdr:row>50</xdr:row>
      <xdr:rowOff>180525</xdr:rowOff>
    </xdr:to>
    <xdr:graphicFrame macro="">
      <xdr:nvGraphicFramePr>
        <xdr:cNvPr id="7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14</xdr:row>
      <xdr:rowOff>47624</xdr:rowOff>
    </xdr:from>
    <xdr:to>
      <xdr:col>5</xdr:col>
      <xdr:colOff>271875</xdr:colOff>
      <xdr:row>33</xdr:row>
      <xdr:rowOff>28124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647700</xdr:colOff>
      <xdr:row>14</xdr:row>
      <xdr:rowOff>47625</xdr:rowOff>
    </xdr:from>
    <xdr:to>
      <xdr:col>11</xdr:col>
      <xdr:colOff>395700</xdr:colOff>
      <xdr:row>33</xdr:row>
      <xdr:rowOff>28125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</xdr:row>
          <xdr:rowOff>95250</xdr:rowOff>
        </xdr:from>
        <xdr:to>
          <xdr:col>7</xdr:col>
          <xdr:colOff>19050</xdr:colOff>
          <xdr:row>5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 Todo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21</xdr:row>
      <xdr:rowOff>95250</xdr:rowOff>
    </xdr:from>
    <xdr:to>
      <xdr:col>18</xdr:col>
      <xdr:colOff>247650</xdr:colOff>
      <xdr:row>35</xdr:row>
      <xdr:rowOff>171450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171450</xdr:rowOff>
    </xdr:from>
    <xdr:to>
      <xdr:col>21</xdr:col>
      <xdr:colOff>0</xdr:colOff>
      <xdr:row>30</xdr:row>
      <xdr:rowOff>114300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15</xdr:row>
      <xdr:rowOff>47624</xdr:rowOff>
    </xdr:from>
    <xdr:to>
      <xdr:col>16</xdr:col>
      <xdr:colOff>257175</xdr:colOff>
      <xdr:row>33</xdr:row>
      <xdr:rowOff>76199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9524</xdr:rowOff>
    </xdr:from>
    <xdr:to>
      <xdr:col>9</xdr:col>
      <xdr:colOff>9525</xdr:colOff>
      <xdr:row>31</xdr:row>
      <xdr:rowOff>133349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3:J123"/>
  <sheetViews>
    <sheetView showGridLines="0" topLeftCell="B6" zoomScale="85" zoomScaleNormal="85" workbookViewId="0">
      <selection activeCell="G20" sqref="G20"/>
    </sheetView>
  </sheetViews>
  <sheetFormatPr baseColWidth="10" defaultRowHeight="15" x14ac:dyDescent="0.25"/>
  <cols>
    <col min="2" max="2" width="16.5703125" customWidth="1"/>
    <col min="3" max="3" width="18.28515625" customWidth="1"/>
  </cols>
  <sheetData>
    <row r="3" spans="2:9" ht="18.75" x14ac:dyDescent="0.3">
      <c r="B3" s="119" t="s">
        <v>51</v>
      </c>
    </row>
    <row r="4" spans="2:9" x14ac:dyDescent="0.25">
      <c r="B4" s="139" t="s">
        <v>89</v>
      </c>
    </row>
    <row r="6" spans="2:9" ht="15.75" thickBot="1" x14ac:dyDescent="0.3">
      <c r="B6" s="8" t="s">
        <v>0</v>
      </c>
      <c r="C6" s="8" t="s">
        <v>44</v>
      </c>
    </row>
    <row r="7" spans="2:9" x14ac:dyDescent="0.25">
      <c r="B7" s="153">
        <v>3.9989999999999998E-2</v>
      </c>
      <c r="C7" s="4">
        <v>3.87418E-4</v>
      </c>
      <c r="E7" s="130" t="s">
        <v>15</v>
      </c>
      <c r="F7" s="131"/>
      <c r="G7" s="131"/>
      <c r="H7" s="131"/>
      <c r="I7" s="132"/>
    </row>
    <row r="8" spans="2:9" x14ac:dyDescent="0.25">
      <c r="B8" s="153">
        <v>4.3900000000000002E-2</v>
      </c>
      <c r="C8" s="4">
        <v>5.0642799999999996E-4</v>
      </c>
      <c r="E8" s="133" t="s">
        <v>52</v>
      </c>
      <c r="F8" s="134"/>
      <c r="G8" s="134"/>
      <c r="H8" s="134"/>
      <c r="I8" s="135"/>
    </row>
    <row r="9" spans="2:9" x14ac:dyDescent="0.25">
      <c r="B9" s="153">
        <v>4.8190999999999998E-2</v>
      </c>
      <c r="C9" s="4">
        <v>8.0523499999999996E-4</v>
      </c>
      <c r="E9" s="133" t="s">
        <v>53</v>
      </c>
      <c r="F9" s="134"/>
      <c r="G9" s="134"/>
      <c r="H9" s="134"/>
      <c r="I9" s="135"/>
    </row>
    <row r="10" spans="2:9" ht="15.75" thickBot="1" x14ac:dyDescent="0.3">
      <c r="B10" s="153">
        <v>5.2902999999999999E-2</v>
      </c>
      <c r="C10" s="4">
        <v>1.61151E-3</v>
      </c>
      <c r="E10" s="136"/>
      <c r="F10" s="137"/>
      <c r="G10" s="137"/>
      <c r="H10" s="137"/>
      <c r="I10" s="138"/>
    </row>
    <row r="11" spans="2:9" x14ac:dyDescent="0.25">
      <c r="B11" s="153">
        <v>5.8075000000000002E-2</v>
      </c>
      <c r="C11" s="4">
        <v>3.3680200000000002E-3</v>
      </c>
    </row>
    <row r="12" spans="2:9" x14ac:dyDescent="0.25">
      <c r="B12" s="153">
        <v>6.3753000000000004E-2</v>
      </c>
      <c r="C12" s="4">
        <v>6.2779699999999999E-3</v>
      </c>
    </row>
    <row r="13" spans="2:9" x14ac:dyDescent="0.25">
      <c r="B13" s="153">
        <v>6.9985000000000006E-2</v>
      </c>
      <c r="C13" s="4">
        <v>9.6538700000000002E-3</v>
      </c>
    </row>
    <row r="14" spans="2:9" x14ac:dyDescent="0.25">
      <c r="B14" s="153">
        <v>7.6827000000000006E-2</v>
      </c>
      <c r="C14" s="4">
        <v>1.2866900000000001E-2</v>
      </c>
    </row>
    <row r="15" spans="2:9" x14ac:dyDescent="0.25">
      <c r="B15" s="153">
        <v>8.4337999999999996E-2</v>
      </c>
      <c r="C15" s="4">
        <v>1.6003199999999999E-2</v>
      </c>
    </row>
    <row r="16" spans="2:9" x14ac:dyDescent="0.25">
      <c r="B16" s="153">
        <v>9.2584E-2</v>
      </c>
      <c r="C16" s="4">
        <v>1.9402099999999999E-2</v>
      </c>
    </row>
    <row r="17" spans="2:3" x14ac:dyDescent="0.25">
      <c r="B17" s="153">
        <v>0.10163999999999999</v>
      </c>
      <c r="C17" s="4">
        <v>2.2970000000000001E-2</v>
      </c>
    </row>
    <row r="18" spans="2:3" x14ac:dyDescent="0.25">
      <c r="B18" s="153">
        <v>0.11157</v>
      </c>
      <c r="C18" s="4">
        <v>2.64093E-2</v>
      </c>
    </row>
    <row r="19" spans="2:3" x14ac:dyDescent="0.25">
      <c r="B19" s="153">
        <v>0.12248000000000001</v>
      </c>
      <c r="C19" s="4">
        <v>2.9835199999999999E-2</v>
      </c>
    </row>
    <row r="20" spans="2:3" x14ac:dyDescent="0.25">
      <c r="B20" s="153">
        <v>0.13444999999999999</v>
      </c>
      <c r="C20" s="4">
        <v>3.3326300000000003E-2</v>
      </c>
    </row>
    <row r="21" spans="2:3" x14ac:dyDescent="0.25">
      <c r="B21" s="153">
        <v>0.14760000000000001</v>
      </c>
      <c r="C21" s="4">
        <v>3.6864000000000001E-2</v>
      </c>
    </row>
    <row r="22" spans="2:3" x14ac:dyDescent="0.25">
      <c r="B22" s="153">
        <v>0.16203000000000001</v>
      </c>
      <c r="C22" s="4">
        <v>4.0454999999999998E-2</v>
      </c>
    </row>
    <row r="23" spans="2:3" x14ac:dyDescent="0.25">
      <c r="B23" s="153">
        <v>0.17787</v>
      </c>
      <c r="C23" s="4">
        <v>4.42911E-2</v>
      </c>
    </row>
    <row r="24" spans="2:3" x14ac:dyDescent="0.25">
      <c r="B24" s="153">
        <v>0.19525999999999999</v>
      </c>
      <c r="C24" s="4">
        <v>4.854E-2</v>
      </c>
    </row>
    <row r="25" spans="2:3" x14ac:dyDescent="0.25">
      <c r="B25" s="153">
        <v>0.21435000000000001</v>
      </c>
      <c r="C25" s="4">
        <v>5.3223899999999998E-2</v>
      </c>
    </row>
    <row r="26" spans="2:3" x14ac:dyDescent="0.25">
      <c r="B26" s="153">
        <v>0.23530000000000001</v>
      </c>
      <c r="C26" s="4">
        <v>5.8327400000000001E-2</v>
      </c>
    </row>
    <row r="27" spans="2:3" x14ac:dyDescent="0.25">
      <c r="B27" s="153">
        <v>0.25830999999999998</v>
      </c>
      <c r="C27" s="4">
        <v>6.3824699999999998E-2</v>
      </c>
    </row>
    <row r="28" spans="2:3" x14ac:dyDescent="0.25">
      <c r="B28" s="153">
        <v>0.28355999999999998</v>
      </c>
      <c r="C28" s="4">
        <v>6.9753200000000001E-2</v>
      </c>
    </row>
    <row r="29" spans="2:3" x14ac:dyDescent="0.25">
      <c r="B29" s="153">
        <v>0.31128</v>
      </c>
      <c r="C29" s="4">
        <v>7.5976000000000002E-2</v>
      </c>
    </row>
    <row r="30" spans="2:3" x14ac:dyDescent="0.25">
      <c r="B30" s="153">
        <v>0.34172000000000002</v>
      </c>
      <c r="C30" s="4">
        <v>8.2492499999999996E-2</v>
      </c>
    </row>
    <row r="31" spans="2:3" x14ac:dyDescent="0.25">
      <c r="B31" s="153">
        <v>0.37512000000000001</v>
      </c>
      <c r="C31" s="4">
        <v>8.9397099999999993E-2</v>
      </c>
    </row>
    <row r="32" spans="2:3" ht="15.75" thickBot="1" x14ac:dyDescent="0.3">
      <c r="B32" s="153">
        <v>0.4118</v>
      </c>
      <c r="C32" s="4">
        <v>9.70641E-2</v>
      </c>
    </row>
    <row r="33" spans="2:10" x14ac:dyDescent="0.25">
      <c r="B33" s="153">
        <v>0.45206000000000002</v>
      </c>
      <c r="C33" s="4">
        <v>0.10553999999999999</v>
      </c>
      <c r="E33" s="170" t="s">
        <v>80</v>
      </c>
      <c r="F33" s="171"/>
      <c r="G33" s="171"/>
      <c r="H33" s="171"/>
      <c r="I33" s="177">
        <f>E35+F35+G35+H35+I35</f>
        <v>92.606020999999998</v>
      </c>
    </row>
    <row r="34" spans="2:10" x14ac:dyDescent="0.25">
      <c r="B34" s="153">
        <v>0.49625000000000002</v>
      </c>
      <c r="C34" s="4">
        <v>0.11480899999999999</v>
      </c>
      <c r="E34" s="175" t="s">
        <v>79</v>
      </c>
      <c r="F34" s="174" t="s">
        <v>81</v>
      </c>
      <c r="G34" s="176" t="s">
        <v>82</v>
      </c>
      <c r="H34" s="63" t="s">
        <v>83</v>
      </c>
      <c r="I34" s="39" t="s">
        <v>84</v>
      </c>
      <c r="J34" s="169" t="s">
        <v>85</v>
      </c>
    </row>
    <row r="35" spans="2:10" ht="15.75" thickBot="1" x14ac:dyDescent="0.3">
      <c r="B35" s="153">
        <v>0.54476999999999998</v>
      </c>
      <c r="C35" s="4">
        <v>0.124846</v>
      </c>
      <c r="E35" s="172">
        <f>SUM(C79:C86)</f>
        <v>36.242280000000001</v>
      </c>
      <c r="F35" s="173">
        <f>SUM(C71:C78)</f>
        <v>23.598469999999999</v>
      </c>
      <c r="G35" s="173">
        <f>SUM(C63:C70)</f>
        <v>16.933609999999998</v>
      </c>
      <c r="H35" s="173">
        <f>SUM(C56:C62)</f>
        <v>10.470039999999999</v>
      </c>
      <c r="I35" s="87">
        <f>SUM(C49:C55)</f>
        <v>5.3616209999999995</v>
      </c>
      <c r="J35" s="169">
        <f>SUM(C7:C48)</f>
        <v>4.6265864510000005</v>
      </c>
    </row>
    <row r="36" spans="2:10" x14ac:dyDescent="0.25">
      <c r="B36" s="153">
        <v>0.59802999999999995</v>
      </c>
      <c r="C36" s="4">
        <v>0.135967</v>
      </c>
    </row>
    <row r="37" spans="2:10" x14ac:dyDescent="0.25">
      <c r="B37" s="153">
        <v>0.65649000000000002</v>
      </c>
      <c r="C37" s="4">
        <v>0.148339</v>
      </c>
    </row>
    <row r="38" spans="2:10" x14ac:dyDescent="0.25">
      <c r="B38" s="153">
        <v>0.72067999999999999</v>
      </c>
      <c r="C38" s="4">
        <v>0.162052</v>
      </c>
    </row>
    <row r="39" spans="2:10" x14ac:dyDescent="0.25">
      <c r="B39" s="153">
        <v>0.79113</v>
      </c>
      <c r="C39" s="4">
        <v>0.177144</v>
      </c>
    </row>
    <row r="40" spans="2:10" x14ac:dyDescent="0.25">
      <c r="B40" s="153">
        <v>0.86848000000000003</v>
      </c>
      <c r="C40" s="4">
        <v>0.19392300000000001</v>
      </c>
    </row>
    <row r="41" spans="2:10" x14ac:dyDescent="0.25">
      <c r="B41" s="153">
        <v>0.95338000000000001</v>
      </c>
      <c r="C41" s="4">
        <v>0.21282499999999999</v>
      </c>
    </row>
    <row r="42" spans="2:10" x14ac:dyDescent="0.25">
      <c r="B42" s="153">
        <v>1.0466</v>
      </c>
      <c r="C42" s="4">
        <v>0.23433200000000001</v>
      </c>
    </row>
    <row r="43" spans="2:10" x14ac:dyDescent="0.25">
      <c r="B43" s="153">
        <v>1.1489</v>
      </c>
      <c r="C43" s="4">
        <v>0.25890400000000002</v>
      </c>
    </row>
    <row r="44" spans="2:10" x14ac:dyDescent="0.25">
      <c r="B44" s="153">
        <v>1.2612000000000001</v>
      </c>
      <c r="C44" s="4">
        <v>0.28695300000000001</v>
      </c>
    </row>
    <row r="45" spans="2:10" x14ac:dyDescent="0.25">
      <c r="B45" s="153">
        <v>1.3845000000000001</v>
      </c>
      <c r="C45" s="4">
        <v>0.31918800000000003</v>
      </c>
    </row>
    <row r="46" spans="2:10" x14ac:dyDescent="0.25">
      <c r="B46" s="153">
        <v>1.5199</v>
      </c>
      <c r="C46" s="4">
        <v>0.35650700000000002</v>
      </c>
    </row>
    <row r="47" spans="2:10" x14ac:dyDescent="0.25">
      <c r="B47" s="153">
        <v>1.6685000000000001</v>
      </c>
      <c r="C47" s="4">
        <v>0.40020800000000001</v>
      </c>
    </row>
    <row r="48" spans="2:10" x14ac:dyDescent="0.25">
      <c r="B48" s="153">
        <v>1.8315999999999999</v>
      </c>
      <c r="C48" s="4">
        <v>0.45141700000000001</v>
      </c>
    </row>
    <row r="49" spans="2:3" x14ac:dyDescent="0.25">
      <c r="B49" s="153">
        <v>2.0106999999999999</v>
      </c>
      <c r="C49" s="4">
        <v>0.51127999999999996</v>
      </c>
    </row>
    <row r="50" spans="2:3" x14ac:dyDescent="0.25">
      <c r="B50" s="153">
        <v>2.2071999999999998</v>
      </c>
      <c r="C50" s="4">
        <v>0.58056399999999997</v>
      </c>
    </row>
    <row r="51" spans="2:3" x14ac:dyDescent="0.25">
      <c r="B51" s="153">
        <v>2.423</v>
      </c>
      <c r="C51" s="4">
        <v>0.65978199999999998</v>
      </c>
    </row>
    <row r="52" spans="2:3" x14ac:dyDescent="0.25">
      <c r="B52" s="153">
        <v>2.6598999999999999</v>
      </c>
      <c r="C52" s="4">
        <v>0.74883999999999995</v>
      </c>
    </row>
    <row r="53" spans="2:3" x14ac:dyDescent="0.25">
      <c r="B53" s="153">
        <v>2.92</v>
      </c>
      <c r="C53" s="4">
        <v>0.84682500000000005</v>
      </c>
    </row>
    <row r="54" spans="2:3" x14ac:dyDescent="0.25">
      <c r="B54" s="153">
        <v>3.2054</v>
      </c>
      <c r="C54" s="4">
        <v>0.95206000000000002</v>
      </c>
    </row>
    <row r="55" spans="2:3" x14ac:dyDescent="0.25">
      <c r="B55" s="153">
        <v>3.5188000000000001</v>
      </c>
      <c r="C55" s="4">
        <v>1.06227</v>
      </c>
    </row>
    <row r="56" spans="2:3" x14ac:dyDescent="0.25">
      <c r="B56" s="153">
        <v>3.8628</v>
      </c>
      <c r="C56" s="4">
        <v>1.17533</v>
      </c>
    </row>
    <row r="57" spans="2:3" x14ac:dyDescent="0.25">
      <c r="B57" s="153">
        <v>4.2404999999999999</v>
      </c>
      <c r="C57" s="4">
        <v>1.28887</v>
      </c>
    </row>
    <row r="58" spans="2:3" x14ac:dyDescent="0.25">
      <c r="B58" s="153">
        <v>4.6551</v>
      </c>
      <c r="C58" s="4">
        <v>1.40042</v>
      </c>
    </row>
    <row r="59" spans="2:3" x14ac:dyDescent="0.25">
      <c r="B59" s="153">
        <v>5.1101999999999999</v>
      </c>
      <c r="C59" s="4">
        <v>1.50725</v>
      </c>
    </row>
    <row r="60" spans="2:3" x14ac:dyDescent="0.25">
      <c r="B60" s="153">
        <v>5.6097999999999999</v>
      </c>
      <c r="C60" s="4">
        <v>1.6076999999999999</v>
      </c>
    </row>
    <row r="61" spans="2:3" x14ac:dyDescent="0.25">
      <c r="B61" s="153">
        <v>6.1581999999999999</v>
      </c>
      <c r="C61" s="4">
        <v>1.7014</v>
      </c>
    </row>
    <row r="62" spans="2:3" x14ac:dyDescent="0.25">
      <c r="B62" s="153">
        <v>6.7603</v>
      </c>
      <c r="C62" s="4">
        <v>1.7890699999999999</v>
      </c>
    </row>
    <row r="63" spans="2:3" x14ac:dyDescent="0.25">
      <c r="B63" s="153">
        <v>7.4211999999999998</v>
      </c>
      <c r="C63" s="4">
        <v>1.8712200000000001</v>
      </c>
    </row>
    <row r="64" spans="2:3" x14ac:dyDescent="0.25">
      <c r="B64" s="153">
        <v>8.1466999999999992</v>
      </c>
      <c r="C64" s="4">
        <v>1.9473499999999999</v>
      </c>
    </row>
    <row r="65" spans="2:3" x14ac:dyDescent="0.25">
      <c r="B65" s="153">
        <v>8.9431999999999992</v>
      </c>
      <c r="C65" s="4">
        <v>2.0177200000000002</v>
      </c>
    </row>
    <row r="66" spans="2:3" x14ac:dyDescent="0.25">
      <c r="B66" s="153">
        <v>9.8175000000000008</v>
      </c>
      <c r="C66" s="4">
        <v>2.0840900000000002</v>
      </c>
    </row>
    <row r="67" spans="2:3" x14ac:dyDescent="0.25">
      <c r="B67" s="153">
        <v>10.776999999999999</v>
      </c>
      <c r="C67" s="4">
        <v>2.1501100000000002</v>
      </c>
    </row>
    <row r="68" spans="2:3" x14ac:dyDescent="0.25">
      <c r="B68" s="153">
        <v>11.831</v>
      </c>
      <c r="C68" s="4">
        <v>2.21773</v>
      </c>
    </row>
    <row r="69" spans="2:3" x14ac:dyDescent="0.25">
      <c r="B69" s="153">
        <v>12.988</v>
      </c>
      <c r="C69" s="4">
        <v>2.2873999999999999</v>
      </c>
    </row>
    <row r="70" spans="2:3" x14ac:dyDescent="0.25">
      <c r="B70" s="153">
        <v>14.257</v>
      </c>
      <c r="C70" s="4">
        <v>2.35799</v>
      </c>
    </row>
    <row r="71" spans="2:3" x14ac:dyDescent="0.25">
      <c r="B71" s="153">
        <v>15.651</v>
      </c>
      <c r="C71" s="4">
        <v>2.4299499999999998</v>
      </c>
    </row>
    <row r="72" spans="2:3" x14ac:dyDescent="0.25">
      <c r="B72" s="153">
        <v>17.181000000000001</v>
      </c>
      <c r="C72" s="4">
        <v>2.5098699999999998</v>
      </c>
    </row>
    <row r="73" spans="2:3" x14ac:dyDescent="0.25">
      <c r="B73" s="153">
        <v>18.861000000000001</v>
      </c>
      <c r="C73" s="4">
        <v>2.6080899999999998</v>
      </c>
    </row>
    <row r="74" spans="2:3" x14ac:dyDescent="0.25">
      <c r="B74" s="153">
        <v>20.704999999999998</v>
      </c>
      <c r="C74" s="4">
        <v>2.7402099999999998</v>
      </c>
    </row>
    <row r="75" spans="2:3" x14ac:dyDescent="0.25">
      <c r="B75" s="153">
        <v>22.728999999999999</v>
      </c>
      <c r="C75" s="4">
        <v>2.9190800000000001</v>
      </c>
    </row>
    <row r="76" spans="2:3" x14ac:dyDescent="0.25">
      <c r="B76" s="153">
        <v>24.951000000000001</v>
      </c>
      <c r="C76" s="4">
        <v>3.1524000000000001</v>
      </c>
    </row>
    <row r="77" spans="2:3" x14ac:dyDescent="0.25">
      <c r="B77" s="153">
        <v>27.390999999999998</v>
      </c>
      <c r="C77" s="4">
        <v>3.4452799999999999</v>
      </c>
    </row>
    <row r="78" spans="2:3" x14ac:dyDescent="0.25">
      <c r="B78" s="153">
        <v>30.068000000000001</v>
      </c>
      <c r="C78" s="4">
        <v>3.79359</v>
      </c>
    </row>
    <row r="79" spans="2:3" x14ac:dyDescent="0.25">
      <c r="B79" s="153">
        <v>33.008000000000003</v>
      </c>
      <c r="C79" s="4">
        <v>4.1893000000000002</v>
      </c>
    </row>
    <row r="80" spans="2:3" x14ac:dyDescent="0.25">
      <c r="B80" s="153">
        <v>36.234999999999999</v>
      </c>
      <c r="C80" s="4">
        <v>4.6103300000000003</v>
      </c>
    </row>
    <row r="81" spans="2:3" x14ac:dyDescent="0.25">
      <c r="B81" s="153">
        <v>39.777999999999999</v>
      </c>
      <c r="C81" s="4">
        <v>4.9996900000000002</v>
      </c>
    </row>
    <row r="82" spans="2:3" x14ac:dyDescent="0.25">
      <c r="B82" s="153">
        <v>43.667000000000002</v>
      </c>
      <c r="C82" s="4">
        <v>5.2633099999999997</v>
      </c>
    </row>
    <row r="83" spans="2:3" x14ac:dyDescent="0.25">
      <c r="B83" s="153">
        <v>47.936</v>
      </c>
      <c r="C83" s="4">
        <v>5.2664999999999997</v>
      </c>
    </row>
    <row r="84" spans="2:3" x14ac:dyDescent="0.25">
      <c r="B84" s="153">
        <v>52.622</v>
      </c>
      <c r="C84" s="4">
        <v>4.8805800000000001</v>
      </c>
    </row>
    <row r="85" spans="2:3" x14ac:dyDescent="0.25">
      <c r="B85" s="153">
        <v>57.767000000000003</v>
      </c>
      <c r="C85" s="4">
        <v>4.0739799999999997</v>
      </c>
    </row>
    <row r="86" spans="2:3" x14ac:dyDescent="0.25">
      <c r="B86" s="153">
        <v>63.414000000000001</v>
      </c>
      <c r="C86" s="4">
        <v>2.9585900000000001</v>
      </c>
    </row>
    <row r="87" spans="2:3" x14ac:dyDescent="0.25">
      <c r="B87" s="153">
        <v>69.614000000000004</v>
      </c>
      <c r="C87" s="4">
        <v>1.7473099999999999</v>
      </c>
    </row>
    <row r="88" spans="2:3" x14ac:dyDescent="0.25">
      <c r="B88" s="153">
        <v>76.42</v>
      </c>
      <c r="C88" s="4">
        <v>0.76843300000000003</v>
      </c>
    </row>
    <row r="89" spans="2:3" x14ac:dyDescent="0.25">
      <c r="B89" s="153">
        <v>83.891000000000005</v>
      </c>
      <c r="C89" s="4">
        <v>0.21720500000000001</v>
      </c>
    </row>
    <row r="90" spans="2:3" x14ac:dyDescent="0.25">
      <c r="B90" s="153">
        <v>92.091999999999999</v>
      </c>
      <c r="C90" s="4">
        <v>3.2522200000000001E-2</v>
      </c>
    </row>
    <row r="91" spans="2:3" x14ac:dyDescent="0.25">
      <c r="B91" s="153">
        <v>101.1</v>
      </c>
      <c r="C91" s="4">
        <v>1.93845E-3</v>
      </c>
    </row>
    <row r="92" spans="2:3" x14ac:dyDescent="0.25">
      <c r="B92" s="153">
        <v>110.98</v>
      </c>
      <c r="C92" s="4">
        <v>0</v>
      </c>
    </row>
    <row r="93" spans="2:3" x14ac:dyDescent="0.25">
      <c r="B93" s="153">
        <v>121.83</v>
      </c>
      <c r="C93" s="4">
        <v>0</v>
      </c>
    </row>
    <row r="94" spans="2:3" x14ac:dyDescent="0.25">
      <c r="B94" s="153">
        <v>133.74</v>
      </c>
      <c r="C94" s="4">
        <v>0</v>
      </c>
    </row>
    <row r="95" spans="2:3" x14ac:dyDescent="0.25">
      <c r="B95" s="153">
        <v>146.81</v>
      </c>
      <c r="C95" s="4">
        <v>0</v>
      </c>
    </row>
    <row r="96" spans="2:3" x14ac:dyDescent="0.25">
      <c r="B96" s="153">
        <v>161.16999999999999</v>
      </c>
      <c r="C96" s="4">
        <v>0</v>
      </c>
    </row>
    <row r="97" spans="2:3" x14ac:dyDescent="0.25">
      <c r="B97" s="153">
        <v>176.92</v>
      </c>
      <c r="C97" s="4">
        <v>0</v>
      </c>
    </row>
    <row r="98" spans="2:3" x14ac:dyDescent="0.25">
      <c r="B98" s="153">
        <v>194.22</v>
      </c>
      <c r="C98" s="4">
        <v>0</v>
      </c>
    </row>
    <row r="99" spans="2:3" x14ac:dyDescent="0.25">
      <c r="B99" s="153">
        <v>213.21</v>
      </c>
      <c r="C99" s="4">
        <v>0</v>
      </c>
    </row>
    <row r="100" spans="2:3" x14ac:dyDescent="0.25">
      <c r="B100" s="153">
        <v>234.05</v>
      </c>
      <c r="C100" s="4">
        <v>0</v>
      </c>
    </row>
    <row r="101" spans="2:3" x14ac:dyDescent="0.25">
      <c r="B101" s="153">
        <v>256.94</v>
      </c>
      <c r="C101" s="4">
        <v>0</v>
      </c>
    </row>
    <row r="102" spans="2:3" x14ac:dyDescent="0.25">
      <c r="B102" s="153">
        <v>282.06</v>
      </c>
      <c r="C102" s="4">
        <v>0</v>
      </c>
    </row>
    <row r="103" spans="2:3" x14ac:dyDescent="0.25">
      <c r="B103" s="153">
        <v>309.63</v>
      </c>
      <c r="C103" s="4">
        <v>0</v>
      </c>
    </row>
    <row r="104" spans="2:3" x14ac:dyDescent="0.25">
      <c r="B104" s="153">
        <v>339.9</v>
      </c>
      <c r="C104" s="4">
        <v>0</v>
      </c>
    </row>
    <row r="105" spans="2:3" x14ac:dyDescent="0.25">
      <c r="B105" s="153">
        <v>373.13</v>
      </c>
      <c r="C105" s="4">
        <v>0</v>
      </c>
    </row>
    <row r="106" spans="2:3" x14ac:dyDescent="0.25">
      <c r="B106" s="153">
        <v>409.61</v>
      </c>
      <c r="C106" s="4">
        <v>0</v>
      </c>
    </row>
    <row r="107" spans="2:3" x14ac:dyDescent="0.25">
      <c r="B107" s="153">
        <v>449.66</v>
      </c>
      <c r="C107" s="4">
        <v>0</v>
      </c>
    </row>
    <row r="108" spans="2:3" x14ac:dyDescent="0.25">
      <c r="B108" s="153">
        <v>493.62</v>
      </c>
      <c r="C108" s="4">
        <v>0</v>
      </c>
    </row>
    <row r="109" spans="2:3" x14ac:dyDescent="0.25">
      <c r="B109" s="153">
        <v>541.88</v>
      </c>
      <c r="C109" s="4">
        <v>0</v>
      </c>
    </row>
    <row r="110" spans="2:3" x14ac:dyDescent="0.25">
      <c r="B110" s="153">
        <v>594.85</v>
      </c>
      <c r="C110" s="4">
        <v>0</v>
      </c>
    </row>
    <row r="111" spans="2:3" x14ac:dyDescent="0.25">
      <c r="B111" s="153">
        <v>653.01</v>
      </c>
      <c r="C111" s="4">
        <v>0</v>
      </c>
    </row>
    <row r="112" spans="2:3" x14ac:dyDescent="0.25">
      <c r="B112" s="153">
        <v>716.85</v>
      </c>
      <c r="C112" s="4">
        <v>0</v>
      </c>
    </row>
    <row r="113" spans="2:3" x14ac:dyDescent="0.25">
      <c r="B113" s="153">
        <v>786.93</v>
      </c>
      <c r="C113" s="4">
        <v>0</v>
      </c>
    </row>
    <row r="114" spans="2:3" x14ac:dyDescent="0.25">
      <c r="B114" s="153">
        <v>863.87</v>
      </c>
      <c r="C114" s="4">
        <v>0</v>
      </c>
    </row>
    <row r="115" spans="2:3" x14ac:dyDescent="0.25">
      <c r="B115" s="153">
        <v>948.32</v>
      </c>
      <c r="C115" s="4">
        <v>0</v>
      </c>
    </row>
    <row r="116" spans="2:3" x14ac:dyDescent="0.25">
      <c r="B116" s="153">
        <v>1041</v>
      </c>
      <c r="C116" s="4">
        <v>0</v>
      </c>
    </row>
    <row r="117" spans="2:3" x14ac:dyDescent="0.25">
      <c r="B117" s="153">
        <v>1142.8</v>
      </c>
      <c r="C117" s="4">
        <v>0</v>
      </c>
    </row>
    <row r="118" spans="2:3" x14ac:dyDescent="0.25">
      <c r="B118" s="153">
        <v>1254.5</v>
      </c>
      <c r="C118" s="59">
        <v>0</v>
      </c>
    </row>
    <row r="119" spans="2:3" x14ac:dyDescent="0.25">
      <c r="B119" s="153">
        <v>1377.2</v>
      </c>
      <c r="C119" s="59">
        <v>0</v>
      </c>
    </row>
    <row r="120" spans="2:3" x14ac:dyDescent="0.25">
      <c r="B120" s="153">
        <v>1511.8</v>
      </c>
      <c r="C120" s="59">
        <v>0</v>
      </c>
    </row>
    <row r="121" spans="2:3" x14ac:dyDescent="0.25">
      <c r="B121" s="153">
        <v>1659.6</v>
      </c>
      <c r="C121" s="59">
        <v>0</v>
      </c>
    </row>
    <row r="122" spans="2:3" x14ac:dyDescent="0.25">
      <c r="B122" s="153">
        <v>1821.9</v>
      </c>
      <c r="C122" s="59">
        <v>0</v>
      </c>
    </row>
    <row r="123" spans="2:3" x14ac:dyDescent="0.25">
      <c r="B123" s="153">
        <v>2000</v>
      </c>
      <c r="C123" s="80"/>
    </row>
  </sheetData>
  <pageMargins left="0.7" right="0.7" top="0.75" bottom="0.75" header="0.3" footer="0.3"/>
  <pageSetup paperSize="9" orientation="portrait" r:id="rId1"/>
  <ignoredErrors>
    <ignoredError sqref="E35:F35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oton_Bimodal">
                <anchor moveWithCells="1" sizeWithCells="1">
                  <from>
                    <xdr:col>3</xdr:col>
                    <xdr:colOff>752475</xdr:colOff>
                    <xdr:row>17</xdr:row>
                    <xdr:rowOff>0</xdr:rowOff>
                  </from>
                  <to>
                    <xdr:col>5</xdr:col>
                    <xdr:colOff>733425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oton_Unimodal">
                <anchor moveWithCells="1" sizeWithCells="1">
                  <from>
                    <xdr:col>4</xdr:col>
                    <xdr:colOff>47625</xdr:colOff>
                    <xdr:row>12</xdr:row>
                    <xdr:rowOff>66675</xdr:rowOff>
                  </from>
                  <to>
                    <xdr:col>5</xdr:col>
                    <xdr:colOff>733425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Boton_Trimodal">
                <anchor moveWithCells="1" sizeWithCells="1">
                  <from>
                    <xdr:col>3</xdr:col>
                    <xdr:colOff>752475</xdr:colOff>
                    <xdr:row>21</xdr:row>
                    <xdr:rowOff>114300</xdr:rowOff>
                  </from>
                  <to>
                    <xdr:col>5</xdr:col>
                    <xdr:colOff>714375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Boton_cuatrimodal">
                <anchor moveWithCells="1" sizeWithCells="1">
                  <from>
                    <xdr:col>4</xdr:col>
                    <xdr:colOff>0</xdr:colOff>
                    <xdr:row>26</xdr:row>
                    <xdr:rowOff>38100</xdr:rowOff>
                  </from>
                  <to>
                    <xdr:col>5</xdr:col>
                    <xdr:colOff>704850</xdr:colOff>
                    <xdr:row>29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23"/>
  <sheetViews>
    <sheetView showGridLines="0" workbookViewId="0">
      <selection activeCell="E39" sqref="E39"/>
    </sheetView>
  </sheetViews>
  <sheetFormatPr baseColWidth="10" defaultRowHeight="15" x14ac:dyDescent="0.25"/>
  <cols>
    <col min="1" max="1" width="17.42578125" customWidth="1"/>
  </cols>
  <sheetData>
    <row r="1" spans="1:14" x14ac:dyDescent="0.25">
      <c r="D1" t="s">
        <v>24</v>
      </c>
    </row>
    <row r="2" spans="1:14" ht="15.75" thickBot="1" x14ac:dyDescent="0.3">
      <c r="A2" t="s">
        <v>17</v>
      </c>
      <c r="B2" s="23" t="s">
        <v>16</v>
      </c>
    </row>
    <row r="3" spans="1:14" x14ac:dyDescent="0.25">
      <c r="A3">
        <v>2</v>
      </c>
      <c r="B3" s="24">
        <v>36.915043885899955</v>
      </c>
      <c r="D3" s="11" t="s">
        <v>5</v>
      </c>
      <c r="E3" s="12">
        <v>2.3627438323642092</v>
      </c>
      <c r="G3" s="11"/>
      <c r="H3" s="12"/>
      <c r="J3" s="11"/>
      <c r="K3" s="12"/>
      <c r="M3" s="11"/>
      <c r="N3" s="12"/>
    </row>
    <row r="4" spans="1:14" x14ac:dyDescent="0.25">
      <c r="A4">
        <v>3</v>
      </c>
      <c r="B4" s="24">
        <v>0.90436378673735385</v>
      </c>
      <c r="D4" s="13" t="s">
        <v>6</v>
      </c>
      <c r="E4" s="14">
        <v>49.58328189469006</v>
      </c>
      <c r="G4" s="13"/>
      <c r="H4" s="14"/>
      <c r="J4" s="13"/>
      <c r="K4" s="14"/>
      <c r="M4" s="13"/>
      <c r="N4" s="14"/>
    </row>
    <row r="5" spans="1:14" ht="15.75" thickBot="1" x14ac:dyDescent="0.3">
      <c r="A5">
        <v>4</v>
      </c>
      <c r="B5" s="24">
        <v>6.926943772853178E-2</v>
      </c>
      <c r="D5" s="15" t="s">
        <v>18</v>
      </c>
      <c r="E5" s="16">
        <v>1</v>
      </c>
      <c r="G5" s="15"/>
      <c r="H5" s="16"/>
      <c r="J5" s="15"/>
      <c r="K5" s="16"/>
      <c r="M5" s="15"/>
      <c r="N5" s="16"/>
    </row>
    <row r="6" spans="1:14" x14ac:dyDescent="0.25">
      <c r="A6">
        <v>5</v>
      </c>
      <c r="B6" s="24">
        <v>5.538573541433256E-2</v>
      </c>
      <c r="D6" s="17" t="s">
        <v>7</v>
      </c>
      <c r="E6" s="18">
        <v>2.2524332204873394</v>
      </c>
      <c r="G6" s="17"/>
      <c r="H6" s="18"/>
      <c r="J6" s="17"/>
      <c r="K6" s="18"/>
      <c r="M6" s="17"/>
      <c r="N6" s="18"/>
    </row>
    <row r="7" spans="1:14" x14ac:dyDescent="0.25">
      <c r="D7" s="19" t="s">
        <v>8</v>
      </c>
      <c r="E7" s="20">
        <v>9.9181751588038374</v>
      </c>
      <c r="G7" s="19"/>
      <c r="H7" s="20"/>
      <c r="J7" s="19"/>
      <c r="K7" s="20"/>
      <c r="M7" s="19"/>
      <c r="N7" s="20"/>
    </row>
    <row r="8" spans="1:14" ht="15.75" thickBot="1" x14ac:dyDescent="0.3">
      <c r="D8" s="21" t="s">
        <v>19</v>
      </c>
      <c r="E8" s="22">
        <v>0</v>
      </c>
      <c r="G8" s="25"/>
      <c r="H8" s="26"/>
      <c r="J8" s="25"/>
      <c r="K8" s="26"/>
      <c r="M8" s="25"/>
      <c r="N8" s="26"/>
    </row>
    <row r="9" spans="1:14" ht="15.75" thickBot="1" x14ac:dyDescent="0.3">
      <c r="G9" s="27"/>
      <c r="H9" s="30"/>
      <c r="J9" s="27"/>
      <c r="K9" s="30"/>
      <c r="M9" s="27"/>
      <c r="N9" s="30"/>
    </row>
    <row r="10" spans="1:14" x14ac:dyDescent="0.25">
      <c r="D10" s="9" t="s">
        <v>25</v>
      </c>
      <c r="E10">
        <f>E5*100</f>
        <v>100</v>
      </c>
      <c r="F10" t="s">
        <v>27</v>
      </c>
      <c r="G10" s="28"/>
      <c r="H10" s="31"/>
      <c r="J10" s="28"/>
      <c r="K10" s="31"/>
      <c r="M10" s="28"/>
      <c r="N10" s="31"/>
    </row>
    <row r="11" spans="1:14" ht="15.75" thickBot="1" x14ac:dyDescent="0.3">
      <c r="D11" s="10" t="s">
        <v>26</v>
      </c>
      <c r="E11">
        <f>100-E10</f>
        <v>0</v>
      </c>
      <c r="F11" t="s">
        <v>27</v>
      </c>
      <c r="G11" s="29"/>
      <c r="H11" s="32"/>
      <c r="J11" s="33"/>
      <c r="K11" s="34"/>
      <c r="M11" s="33"/>
      <c r="N11" s="34"/>
    </row>
    <row r="12" spans="1:14" ht="15.75" thickBot="1" x14ac:dyDescent="0.3">
      <c r="J12" s="35"/>
      <c r="K12" s="38"/>
      <c r="M12" s="35"/>
      <c r="N12" s="38"/>
    </row>
    <row r="13" spans="1:14" x14ac:dyDescent="0.25">
      <c r="G13" s="49"/>
      <c r="J13" s="36"/>
      <c r="K13" s="39"/>
      <c r="M13" s="36"/>
      <c r="N13" s="39"/>
    </row>
    <row r="14" spans="1:14" ht="15.75" thickBot="1" x14ac:dyDescent="0.3">
      <c r="G14" s="50"/>
      <c r="J14" s="37"/>
      <c r="K14" s="40"/>
      <c r="M14" s="41"/>
      <c r="N14" s="42"/>
    </row>
    <row r="15" spans="1:14" ht="15.75" thickBot="1" x14ac:dyDescent="0.3">
      <c r="G15" s="51"/>
      <c r="M15" s="43"/>
      <c r="N15" s="46"/>
    </row>
    <row r="16" spans="1:14" x14ac:dyDescent="0.25">
      <c r="J16" s="52"/>
      <c r="M16" s="44"/>
      <c r="N16" s="47"/>
    </row>
    <row r="17" spans="8:14" ht="15.75" thickBot="1" x14ac:dyDescent="0.3">
      <c r="J17" s="53"/>
      <c r="M17" s="45"/>
      <c r="N17" s="48"/>
    </row>
    <row r="18" spans="8:14" ht="15.75" thickBot="1" x14ac:dyDescent="0.3">
      <c r="J18" s="53"/>
    </row>
    <row r="19" spans="8:14" ht="15.75" thickBot="1" x14ac:dyDescent="0.3">
      <c r="H19">
        <f>FACT(3-1)</f>
        <v>2</v>
      </c>
      <c r="J19" s="54"/>
      <c r="M19" s="55"/>
    </row>
    <row r="20" spans="8:14" x14ac:dyDescent="0.25">
      <c r="M20" s="56"/>
    </row>
    <row r="21" spans="8:14" x14ac:dyDescent="0.25">
      <c r="M21" s="56"/>
    </row>
    <row r="22" spans="8:14" x14ac:dyDescent="0.25">
      <c r="M22" s="56"/>
    </row>
    <row r="23" spans="8:14" ht="15.75" thickBot="1" x14ac:dyDescent="0.3">
      <c r="M23" s="5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2:J10"/>
  <sheetViews>
    <sheetView showGridLines="0" workbookViewId="0">
      <selection activeCell="I9" sqref="I9:J9"/>
    </sheetView>
  </sheetViews>
  <sheetFormatPr baseColWidth="10" defaultRowHeight="15" x14ac:dyDescent="0.25"/>
  <cols>
    <col min="4" max="4" width="11.85546875" bestFit="1" customWidth="1"/>
  </cols>
  <sheetData>
    <row r="2" spans="2:10" ht="15.75" thickBot="1" x14ac:dyDescent="0.3">
      <c r="B2" s="83" t="s">
        <v>46</v>
      </c>
      <c r="C2" s="82"/>
      <c r="D2" s="8" t="s">
        <v>88</v>
      </c>
      <c r="E2" t="s">
        <v>54</v>
      </c>
    </row>
    <row r="3" spans="2:10" x14ac:dyDescent="0.25">
      <c r="B3" s="17" t="s">
        <v>42</v>
      </c>
      <c r="C3" s="179">
        <f>Weibull!D119</f>
        <v>218.03050988233306</v>
      </c>
      <c r="D3" s="4">
        <f>Weibull!P39</f>
        <v>0.13000536231728516</v>
      </c>
    </row>
    <row r="4" spans="2:10" ht="15.75" thickBot="1" x14ac:dyDescent="0.3">
      <c r="B4" s="21" t="s">
        <v>32</v>
      </c>
      <c r="C4" s="180">
        <f>Normal!E119</f>
        <v>152.16595208657384</v>
      </c>
      <c r="D4" s="4">
        <f>Normal!Q35</f>
        <v>0.40409024026652185</v>
      </c>
    </row>
    <row r="5" spans="2:10" x14ac:dyDescent="0.25">
      <c r="B5" s="168"/>
      <c r="C5" s="168"/>
    </row>
    <row r="7" spans="2:10" ht="15.75" thickBot="1" x14ac:dyDescent="0.3">
      <c r="B7" s="102" t="s">
        <v>42</v>
      </c>
      <c r="H7" s="113" t="s">
        <v>32</v>
      </c>
    </row>
    <row r="8" spans="2:10" x14ac:dyDescent="0.25">
      <c r="B8" s="93"/>
      <c r="C8" s="100" t="s">
        <v>50</v>
      </c>
      <c r="D8" s="101" t="s">
        <v>27</v>
      </c>
      <c r="H8" s="88"/>
      <c r="I8" s="109" t="s">
        <v>50</v>
      </c>
      <c r="J8" s="110" t="s">
        <v>27</v>
      </c>
    </row>
    <row r="9" spans="2:10" ht="15.75" thickBot="1" x14ac:dyDescent="0.3">
      <c r="B9" s="99" t="s">
        <v>48</v>
      </c>
      <c r="C9" s="96">
        <v>11.333374014616645</v>
      </c>
      <c r="D9" s="97">
        <v>102.46643241644426</v>
      </c>
      <c r="H9" s="112" t="s">
        <v>48</v>
      </c>
      <c r="I9" s="91">
        <v>8.2436831726484723</v>
      </c>
      <c r="J9" s="92">
        <v>98.361624140238604</v>
      </c>
    </row>
    <row r="10" spans="2:10" x14ac:dyDescent="0.25">
      <c r="B10" s="163"/>
      <c r="C10" s="82"/>
      <c r="D10" s="82"/>
      <c r="E10" s="82"/>
      <c r="F10" s="82"/>
      <c r="G10" s="82"/>
      <c r="H10" s="163"/>
      <c r="I10" s="82"/>
      <c r="J10" s="82"/>
    </row>
  </sheetData>
  <conditionalFormatting sqref="C3:C5">
    <cfRule type="colorScale" priority="1">
      <colorScale>
        <cfvo type="min"/>
        <cfvo type="max"/>
        <color rgb="FFFFEF9C"/>
        <color rgb="FFFF7128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ton_Unimodal">
                <anchor moveWithCells="1" sizeWithCells="1">
                  <from>
                    <xdr:col>4</xdr:col>
                    <xdr:colOff>752475</xdr:colOff>
                    <xdr:row>2</xdr:row>
                    <xdr:rowOff>95250</xdr:rowOff>
                  </from>
                  <to>
                    <xdr:col>7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Boton_Unimodal_weibull">
                <anchor moveWithCells="1" sizeWithCells="1">
                  <from>
                    <xdr:col>2</xdr:col>
                    <xdr:colOff>0</xdr:colOff>
                    <xdr:row>5</xdr:row>
                    <xdr:rowOff>180975</xdr:rowOff>
                  </from>
                  <to>
                    <xdr:col>3</xdr:col>
                    <xdr:colOff>28575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oton_Unimodal_normal">
                <anchor moveWithCells="1" sizeWithCells="1">
                  <from>
                    <xdr:col>8</xdr:col>
                    <xdr:colOff>9525</xdr:colOff>
                    <xdr:row>5</xdr:row>
                    <xdr:rowOff>180975</xdr:rowOff>
                  </from>
                  <to>
                    <xdr:col>9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P10"/>
  <sheetViews>
    <sheetView showGridLines="0" topLeftCell="B1" zoomScaleNormal="100" workbookViewId="0">
      <selection activeCell="F9" sqref="F9"/>
    </sheetView>
  </sheetViews>
  <sheetFormatPr baseColWidth="10" defaultRowHeight="15" x14ac:dyDescent="0.25"/>
  <cols>
    <col min="2" max="2" width="17.5703125" customWidth="1"/>
  </cols>
  <sheetData>
    <row r="2" spans="2:16" ht="15.75" thickBot="1" x14ac:dyDescent="0.3">
      <c r="B2" s="83" t="s">
        <v>46</v>
      </c>
      <c r="C2" s="82"/>
      <c r="D2" s="8" t="s">
        <v>88</v>
      </c>
      <c r="E2" t="s">
        <v>54</v>
      </c>
    </row>
    <row r="3" spans="2:16" x14ac:dyDescent="0.25">
      <c r="B3" s="17" t="s">
        <v>42</v>
      </c>
      <c r="C3" s="179">
        <v>0.56433023963474294</v>
      </c>
      <c r="D3" s="4">
        <f>Weibull!P40</f>
        <v>0.12995704551707837</v>
      </c>
    </row>
    <row r="4" spans="2:16" x14ac:dyDescent="0.25">
      <c r="B4" s="19" t="s">
        <v>32</v>
      </c>
      <c r="C4" s="181">
        <v>1.1013587605800439</v>
      </c>
      <c r="D4" s="4">
        <f>Normal!Q36</f>
        <v>0.76268883217619032</v>
      </c>
    </row>
    <row r="5" spans="2:16" ht="15.75" thickBot="1" x14ac:dyDescent="0.3">
      <c r="B5" s="21" t="s">
        <v>47</v>
      </c>
      <c r="C5" s="81">
        <v>0.86123045769083739</v>
      </c>
    </row>
    <row r="7" spans="2:16" ht="15.75" thickBot="1" x14ac:dyDescent="0.3">
      <c r="B7" s="102" t="s">
        <v>42</v>
      </c>
      <c r="H7" s="113" t="s">
        <v>32</v>
      </c>
      <c r="N7" s="114" t="s">
        <v>47</v>
      </c>
    </row>
    <row r="8" spans="2:16" x14ac:dyDescent="0.25">
      <c r="B8" s="93"/>
      <c r="C8" s="100" t="s">
        <v>50</v>
      </c>
      <c r="D8" s="101" t="s">
        <v>27</v>
      </c>
      <c r="H8" s="88"/>
      <c r="I8" s="109" t="s">
        <v>50</v>
      </c>
      <c r="J8" s="110" t="s">
        <v>27</v>
      </c>
      <c r="N8" s="103"/>
      <c r="O8" s="104" t="s">
        <v>50</v>
      </c>
      <c r="P8" s="105" t="s">
        <v>27</v>
      </c>
    </row>
    <row r="9" spans="2:16" x14ac:dyDescent="0.25">
      <c r="B9" s="98" t="s">
        <v>48</v>
      </c>
      <c r="C9" s="94">
        <v>39.056135990013409</v>
      </c>
      <c r="D9" s="95">
        <v>59.274896369088673</v>
      </c>
      <c r="H9" s="111" t="s">
        <v>48</v>
      </c>
      <c r="I9" s="89">
        <v>10.847418183911394</v>
      </c>
      <c r="J9" s="90">
        <v>76.14297830688318</v>
      </c>
      <c r="N9" s="106" t="s">
        <v>48</v>
      </c>
      <c r="O9" s="63">
        <v>6.9933600997710679</v>
      </c>
      <c r="P9" s="67">
        <v>40.479702872295277</v>
      </c>
    </row>
    <row r="10" spans="2:16" ht="15.75" thickBot="1" x14ac:dyDescent="0.3">
      <c r="B10" s="99" t="s">
        <v>49</v>
      </c>
      <c r="C10" s="96">
        <v>8.7390537730545201</v>
      </c>
      <c r="D10" s="97">
        <v>42.25448865945355</v>
      </c>
      <c r="H10" s="112" t="s">
        <v>49</v>
      </c>
      <c r="I10" s="91">
        <v>42.25901422343037</v>
      </c>
      <c r="J10" s="92">
        <v>23.261748242333262</v>
      </c>
      <c r="N10" s="107" t="s">
        <v>49</v>
      </c>
      <c r="O10" s="108">
        <v>39.139777678052646</v>
      </c>
      <c r="P10" s="69">
        <v>58.145037779481825</v>
      </c>
    </row>
  </sheetData>
  <conditionalFormatting sqref="C3:C5">
    <cfRule type="colorScale" priority="1">
      <colorScale>
        <cfvo type="min"/>
        <cfvo type="max"/>
        <color rgb="FFFFEF9C"/>
        <color rgb="FFFF7128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ton_Bimodal">
                <anchor moveWithCells="1" sizeWithCells="1">
                  <from>
                    <xdr:col>4</xdr:col>
                    <xdr:colOff>752475</xdr:colOff>
                    <xdr:row>2</xdr:row>
                    <xdr:rowOff>95250</xdr:rowOff>
                  </from>
                  <to>
                    <xdr:col>7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oton_Bimodal_weibull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3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oton_Bimodal_normal">
                <anchor moveWithCells="1" sizeWithCells="1">
                  <from>
                    <xdr:col>8</xdr:col>
                    <xdr:colOff>9525</xdr:colOff>
                    <xdr:row>6</xdr:row>
                    <xdr:rowOff>0</xdr:rowOff>
                  </from>
                  <to>
                    <xdr:col>9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2:J11"/>
  <sheetViews>
    <sheetView showGridLines="0" tabSelected="1" workbookViewId="0">
      <selection activeCell="F10" sqref="F10"/>
    </sheetView>
  </sheetViews>
  <sheetFormatPr baseColWidth="10" defaultRowHeight="15" x14ac:dyDescent="0.25"/>
  <sheetData>
    <row r="2" spans="2:10" ht="15.75" thickBot="1" x14ac:dyDescent="0.3">
      <c r="B2" s="83" t="s">
        <v>46</v>
      </c>
      <c r="C2" s="82"/>
      <c r="D2" s="8" t="s">
        <v>88</v>
      </c>
      <c r="E2" t="s">
        <v>54</v>
      </c>
    </row>
    <row r="3" spans="2:10" x14ac:dyDescent="0.25">
      <c r="B3" s="17" t="s">
        <v>42</v>
      </c>
      <c r="C3" s="179">
        <v>0.29231124835514682</v>
      </c>
      <c r="D3" s="4">
        <f>Weibull!P41</f>
        <v>0.99870127955335075</v>
      </c>
    </row>
    <row r="4" spans="2:10" x14ac:dyDescent="0.25">
      <c r="B4" s="19" t="s">
        <v>32</v>
      </c>
      <c r="C4" s="181">
        <v>0.78655182286059999</v>
      </c>
      <c r="D4" s="4">
        <f>Normal!Q37</f>
        <v>0.9964463804389545</v>
      </c>
    </row>
    <row r="5" spans="2:10" ht="15.75" thickBot="1" x14ac:dyDescent="0.3">
      <c r="B5" s="21" t="s">
        <v>47</v>
      </c>
      <c r="C5" s="81"/>
    </row>
    <row r="7" spans="2:10" ht="15.75" thickBot="1" x14ac:dyDescent="0.3">
      <c r="B7" s="102" t="s">
        <v>42</v>
      </c>
      <c r="H7" s="113" t="s">
        <v>32</v>
      </c>
    </row>
    <row r="8" spans="2:10" x14ac:dyDescent="0.25">
      <c r="B8" s="93"/>
      <c r="C8" s="100" t="s">
        <v>50</v>
      </c>
      <c r="D8" s="101" t="s">
        <v>27</v>
      </c>
      <c r="H8" s="88"/>
      <c r="I8" s="109" t="s">
        <v>50</v>
      </c>
      <c r="J8" s="110" t="s">
        <v>27</v>
      </c>
    </row>
    <row r="9" spans="2:10" x14ac:dyDescent="0.25">
      <c r="B9" s="98" t="s">
        <v>48</v>
      </c>
      <c r="C9" s="94">
        <v>10.419042795906345</v>
      </c>
      <c r="D9" s="95">
        <v>39.885626235861849</v>
      </c>
      <c r="H9" s="111" t="s">
        <v>48</v>
      </c>
      <c r="I9" s="89">
        <v>10.162596974528377</v>
      </c>
      <c r="J9" s="90">
        <v>51.964308860429654</v>
      </c>
    </row>
    <row r="10" spans="2:10" x14ac:dyDescent="0.25">
      <c r="B10" s="98" t="s">
        <v>49</v>
      </c>
      <c r="C10" s="94" t="e">
        <v>#NUM!</v>
      </c>
      <c r="D10" s="95">
        <v>1.0301767413412528E-2</v>
      </c>
      <c r="H10" s="111" t="s">
        <v>49</v>
      </c>
      <c r="I10" s="89">
        <v>31.182710410346065</v>
      </c>
      <c r="J10" s="90">
        <v>23.42520157159068</v>
      </c>
    </row>
    <row r="11" spans="2:10" ht="15.75" thickBot="1" x14ac:dyDescent="0.3">
      <c r="B11" s="99" t="s">
        <v>71</v>
      </c>
      <c r="C11" s="96">
        <v>45.03635382747045</v>
      </c>
      <c r="D11" s="97">
        <v>61.162893316870893</v>
      </c>
      <c r="H11" s="112" t="s">
        <v>71</v>
      </c>
      <c r="I11" s="91">
        <v>49.178585348165299</v>
      </c>
      <c r="J11" s="92">
        <v>23.190460297442186</v>
      </c>
    </row>
  </sheetData>
  <conditionalFormatting sqref="C3:C5">
    <cfRule type="colorScale" priority="1">
      <colorScale>
        <cfvo type="min"/>
        <cfvo type="max"/>
        <color rgb="FFFFEF9C"/>
        <color rgb="FFFF7128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oton_Trimodal">
                <anchor moveWithCells="1" sizeWithCells="1">
                  <from>
                    <xdr:col>4</xdr:col>
                    <xdr:colOff>752475</xdr:colOff>
                    <xdr:row>2</xdr:row>
                    <xdr:rowOff>95250</xdr:rowOff>
                  </from>
                  <to>
                    <xdr:col>7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oton_Trimodal_weibull">
                <anchor moveWithCells="1" sizeWithCells="1">
                  <from>
                    <xdr:col>2</xdr:col>
                    <xdr:colOff>9525</xdr:colOff>
                    <xdr:row>5</xdr:row>
                    <xdr:rowOff>171450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oton_Trimodal_normal">
                <anchor moveWithCells="1" sizeWithCells="1">
                  <from>
                    <xdr:col>8</xdr:col>
                    <xdr:colOff>9525</xdr:colOff>
                    <xdr:row>5</xdr:row>
                    <xdr:rowOff>180975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2:J12"/>
  <sheetViews>
    <sheetView showGridLines="0" workbookViewId="0">
      <selection activeCell="F11" sqref="F11"/>
    </sheetView>
  </sheetViews>
  <sheetFormatPr baseColWidth="10" defaultRowHeight="15" x14ac:dyDescent="0.25"/>
  <sheetData>
    <row r="2" spans="2:10" ht="15.75" thickBot="1" x14ac:dyDescent="0.3">
      <c r="B2" s="83" t="s">
        <v>46</v>
      </c>
      <c r="C2" s="82"/>
      <c r="D2" s="8" t="s">
        <v>88</v>
      </c>
      <c r="E2" t="s">
        <v>54</v>
      </c>
    </row>
    <row r="3" spans="2:10" x14ac:dyDescent="0.25">
      <c r="B3" s="17" t="s">
        <v>42</v>
      </c>
      <c r="C3" s="179">
        <v>0.8517704695172289</v>
      </c>
      <c r="D3" s="4">
        <f>Weibull!P42</f>
        <v>0.89902032050392067</v>
      </c>
    </row>
    <row r="4" spans="2:10" x14ac:dyDescent="0.25">
      <c r="B4" s="19" t="s">
        <v>32</v>
      </c>
      <c r="C4" s="181">
        <v>4.3289955423315867</v>
      </c>
      <c r="D4" s="4">
        <f>Normal!Q38</f>
        <v>0.98162036491914095</v>
      </c>
    </row>
    <row r="5" spans="2:10" ht="15.75" thickBot="1" x14ac:dyDescent="0.3">
      <c r="B5" s="21" t="s">
        <v>47</v>
      </c>
      <c r="C5" s="81"/>
    </row>
    <row r="7" spans="2:10" ht="15.75" thickBot="1" x14ac:dyDescent="0.3">
      <c r="B7" s="102" t="s">
        <v>42</v>
      </c>
      <c r="H7" s="113" t="s">
        <v>32</v>
      </c>
    </row>
    <row r="8" spans="2:10" x14ac:dyDescent="0.25">
      <c r="B8" s="93"/>
      <c r="C8" s="100" t="s">
        <v>50</v>
      </c>
      <c r="D8" s="101" t="s">
        <v>27</v>
      </c>
      <c r="H8" s="88"/>
      <c r="I8" s="109" t="s">
        <v>50</v>
      </c>
      <c r="J8" s="110" t="s">
        <v>27</v>
      </c>
    </row>
    <row r="9" spans="2:10" x14ac:dyDescent="0.25">
      <c r="B9" s="98" t="s">
        <v>48</v>
      </c>
      <c r="C9" s="94">
        <v>14.390020110107846</v>
      </c>
      <c r="D9" s="95">
        <v>26.90984551688571</v>
      </c>
      <c r="H9" s="111" t="s">
        <v>48</v>
      </c>
      <c r="I9" s="89">
        <v>1</v>
      </c>
      <c r="J9" s="90">
        <v>5.4419510626668286</v>
      </c>
    </row>
    <row r="10" spans="2:10" x14ac:dyDescent="0.25">
      <c r="B10" s="98" t="s">
        <v>49</v>
      </c>
      <c r="C10" s="94">
        <v>36.733701758451559</v>
      </c>
      <c r="D10" s="95">
        <v>15.884631375001437</v>
      </c>
      <c r="H10" s="111" t="s">
        <v>49</v>
      </c>
      <c r="I10" s="89">
        <v>5.9334462853446031</v>
      </c>
      <c r="J10" s="90">
        <v>72.814264919003264</v>
      </c>
    </row>
    <row r="11" spans="2:10" x14ac:dyDescent="0.25">
      <c r="B11" s="98" t="s">
        <v>71</v>
      </c>
      <c r="C11" s="94">
        <v>4.6512081053015386</v>
      </c>
      <c r="D11" s="95">
        <v>28.30814698871033</v>
      </c>
      <c r="H11" s="111" t="s">
        <v>71</v>
      </c>
      <c r="I11" s="89">
        <v>1023.9999341170172</v>
      </c>
      <c r="J11" s="90">
        <v>3.2870681406595035E-6</v>
      </c>
    </row>
    <row r="12" spans="2:10" ht="15.75" thickBot="1" x14ac:dyDescent="0.3">
      <c r="B12" s="99" t="s">
        <v>72</v>
      </c>
      <c r="C12" s="96">
        <v>12.903209613048283</v>
      </c>
      <c r="D12" s="97">
        <v>29.372181059842767</v>
      </c>
      <c r="H12" s="112" t="s">
        <v>72</v>
      </c>
      <c r="I12" s="91">
        <v>25.260492498070448</v>
      </c>
      <c r="J12" s="92">
        <v>21.912327381894929</v>
      </c>
    </row>
  </sheetData>
  <conditionalFormatting sqref="C3:C5">
    <cfRule type="colorScale" priority="1">
      <colorScale>
        <cfvo type="min"/>
        <cfvo type="max"/>
        <color rgb="FFFFEF9C"/>
        <color rgb="FFFF7128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oton_cuatrimodal">
                <anchor moveWithCells="1" sizeWithCells="1">
                  <from>
                    <xdr:col>4</xdr:col>
                    <xdr:colOff>752475</xdr:colOff>
                    <xdr:row>2</xdr:row>
                    <xdr:rowOff>95250</xdr:rowOff>
                  </from>
                  <to>
                    <xdr:col>7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I868"/>
  <sheetViews>
    <sheetView topLeftCell="B1" workbookViewId="0">
      <selection activeCell="P11" sqref="P11"/>
    </sheetView>
  </sheetViews>
  <sheetFormatPr baseColWidth="10" defaultRowHeight="15" x14ac:dyDescent="0.25"/>
  <cols>
    <col min="3" max="3" width="12" style="1" bestFit="1" customWidth="1"/>
    <col min="4" max="4" width="12" style="1" customWidth="1"/>
    <col min="5" max="5" width="12" style="1" bestFit="1" customWidth="1"/>
    <col min="6" max="7" width="12" style="1" customWidth="1"/>
    <col min="8" max="8" width="11.42578125" style="1"/>
    <col min="9" max="13" width="11.42578125" style="2"/>
    <col min="14" max="14" width="12" bestFit="1" customWidth="1"/>
    <col min="15" max="15" width="16.5703125" customWidth="1"/>
    <col min="16" max="16" width="18.5703125" customWidth="1"/>
    <col min="20" max="20" width="11.85546875" bestFit="1" customWidth="1"/>
  </cols>
  <sheetData>
    <row r="1" spans="1:22" x14ac:dyDescent="0.25">
      <c r="A1" t="s">
        <v>0</v>
      </c>
      <c r="B1" t="s">
        <v>1</v>
      </c>
      <c r="C1" s="60" t="s">
        <v>28</v>
      </c>
      <c r="D1" s="60" t="s">
        <v>3</v>
      </c>
      <c r="E1" s="60" t="s">
        <v>29</v>
      </c>
      <c r="F1" s="60" t="s">
        <v>74</v>
      </c>
      <c r="G1" s="60" t="s">
        <v>75</v>
      </c>
      <c r="H1" s="60" t="s">
        <v>73</v>
      </c>
      <c r="I1" s="61" t="s">
        <v>2</v>
      </c>
      <c r="J1" s="61" t="s">
        <v>69</v>
      </c>
      <c r="K1" s="61" t="s">
        <v>3</v>
      </c>
      <c r="L1" s="61" t="s">
        <v>70</v>
      </c>
      <c r="M1" s="61" t="s">
        <v>3</v>
      </c>
    </row>
    <row r="2" spans="1:22" x14ac:dyDescent="0.25">
      <c r="A2" s="3">
        <v>0.04</v>
      </c>
      <c r="B2" s="4">
        <v>3.87418E-4</v>
      </c>
      <c r="C2" s="1">
        <f>(WEIBULL(A2,$P$4,$P$5,FALSE))*$P$6</f>
        <v>1.2441916245172612E-2</v>
      </c>
      <c r="D2" s="1">
        <f>(B2-C2)^2</f>
        <v>1.4531092794286957E-4</v>
      </c>
      <c r="E2" s="1">
        <f>(WEIBULL(A2,$P$7,$P$8,FALSE))*$P$9</f>
        <v>9.1697192449751721E-4</v>
      </c>
      <c r="F2" s="1">
        <f>(WEIBULL(A2,$P$10,$P$11,FALSE))*$P$12</f>
        <v>2.4779443923670254E-6</v>
      </c>
      <c r="G2" s="1">
        <f>(WEIBULL(A2,$P$13,$P$14,FALSE))*$P$15</f>
        <v>8.7453014060221457E-5</v>
      </c>
      <c r="H2" s="1">
        <f t="shared" ref="H2:H33" si="0">C2+E2</f>
        <v>1.335888816967013E-2</v>
      </c>
      <c r="I2" s="2">
        <f t="shared" ref="I2:I33" si="1">(B2-H2)^2</f>
        <v>1.68259038362642E-4</v>
      </c>
      <c r="J2" s="2">
        <f>C2+E2+F2</f>
        <v>1.3361366114062497E-2</v>
      </c>
      <c r="K2" s="2">
        <f>(B2-J2)^2</f>
        <v>1.683233296663858E-4</v>
      </c>
      <c r="L2" s="2">
        <f>C2+E2+F2+G2</f>
        <v>1.3448819128122718E-2</v>
      </c>
      <c r="M2" s="2">
        <f>(B2-L2)^2</f>
        <v>1.7060019942972539E-4</v>
      </c>
      <c r="N2">
        <f>RSQ(H2:H98,C2:C98)</f>
        <v>0.99999988715707511</v>
      </c>
    </row>
    <row r="3" spans="1:22" ht="15.75" thickBot="1" x14ac:dyDescent="0.3">
      <c r="A3" s="3">
        <v>4.3999999999999997E-2</v>
      </c>
      <c r="B3" s="4">
        <v>5.0642799999999996E-4</v>
      </c>
      <c r="C3" s="1">
        <f t="shared" ref="C3:C66" si="2">(WEIBULL(A3,$P$4,$P$5,FALSE))*$P$6</f>
        <v>1.3661526354126416E-2</v>
      </c>
      <c r="D3" s="1">
        <f t="shared" ref="D3:D66" si="3">(B3-C3)^2</f>
        <v>1.7305661270673956E-4</v>
      </c>
      <c r="E3" s="1">
        <f t="shared" ref="E3:E66" si="4">(WEIBULL(A3,$P$7,$P$8,FALSE))*$P$9</f>
        <v>8.3367015551794586E-4</v>
      </c>
      <c r="F3" s="1">
        <f t="shared" ref="F3:F66" si="5">(WEIBULL(A3,$P$10,$P$11,FALSE))*$P$12</f>
        <v>3.0480205937496266E-6</v>
      </c>
      <c r="G3" s="1">
        <f t="shared" ref="G3:G66" si="6">(WEIBULL(A3,$P$13,$P$14,FALSE))*$P$15</f>
        <v>1.0451954628382187E-4</v>
      </c>
      <c r="H3" s="1">
        <f t="shared" si="0"/>
        <v>1.4495196509644362E-2</v>
      </c>
      <c r="I3" s="2">
        <f t="shared" si="1"/>
        <v>1.9568564441641774E-4</v>
      </c>
      <c r="J3" s="2">
        <f t="shared" ref="J3:J66" si="7">C3+E3+F3</f>
        <v>1.4498244530238111E-2</v>
      </c>
      <c r="K3" s="2">
        <f t="shared" ref="K3:K66" si="8">(B3-J3)^2</f>
        <v>1.9577092981584444E-4</v>
      </c>
      <c r="L3" s="2">
        <f t="shared" ref="L3:L66" si="9">C3+E3+F3+G3</f>
        <v>1.4602764076521932E-2</v>
      </c>
      <c r="M3" s="2">
        <f t="shared" ref="M3:M66" si="10">(B3-L3)^2</f>
        <v>1.9870669078225374E-4</v>
      </c>
      <c r="O3" t="s">
        <v>4</v>
      </c>
      <c r="R3" s="62" t="s">
        <v>45</v>
      </c>
    </row>
    <row r="4" spans="1:22" x14ac:dyDescent="0.25">
      <c r="A4" s="3">
        <v>4.8000000000000001E-2</v>
      </c>
      <c r="B4" s="4">
        <v>8.0523499999999996E-4</v>
      </c>
      <c r="C4" s="1">
        <f t="shared" si="2"/>
        <v>1.4879039559692117E-2</v>
      </c>
      <c r="D4" s="1">
        <f t="shared" si="3"/>
        <v>1.9807197478441066E-4</v>
      </c>
      <c r="E4" s="1">
        <f t="shared" si="4"/>
        <v>7.6424672261460748E-4</v>
      </c>
      <c r="F4" s="1">
        <f t="shared" si="5"/>
        <v>3.682257997105923E-6</v>
      </c>
      <c r="G4" s="1">
        <f t="shared" si="6"/>
        <v>1.2299258587398251E-4</v>
      </c>
      <c r="H4" s="1">
        <f t="shared" si="0"/>
        <v>1.5643286282306726E-2</v>
      </c>
      <c r="I4" s="2">
        <f t="shared" si="1"/>
        <v>2.2016776585636428E-4</v>
      </c>
      <c r="J4" s="2">
        <f t="shared" si="7"/>
        <v>1.564696854030383E-2</v>
      </c>
      <c r="K4" s="2">
        <f t="shared" si="8"/>
        <v>2.2027705448137967E-4</v>
      </c>
      <c r="L4" s="2">
        <f t="shared" si="9"/>
        <v>1.5769961126177814E-2</v>
      </c>
      <c r="M4" s="2">
        <f t="shared" si="10"/>
        <v>2.2394302803150886E-4</v>
      </c>
      <c r="O4" s="164" t="s">
        <v>5</v>
      </c>
      <c r="P4" s="65">
        <v>1.9811560240188526</v>
      </c>
      <c r="R4" s="62">
        <f>P5*(((P4-1)/P4)^(1/P4))</f>
        <v>10.419042795906345</v>
      </c>
      <c r="V4" t="s">
        <v>78</v>
      </c>
    </row>
    <row r="5" spans="1:22" x14ac:dyDescent="0.25">
      <c r="A5" s="3">
        <v>5.2999999999999999E-2</v>
      </c>
      <c r="B5" s="4">
        <v>1.61151E-3</v>
      </c>
      <c r="C5" s="1">
        <f t="shared" si="2"/>
        <v>1.639824955093E-2</v>
      </c>
      <c r="D5" s="1">
        <f t="shared" si="3"/>
        <v>2.1864766654703752E-4</v>
      </c>
      <c r="E5" s="1">
        <f t="shared" si="4"/>
        <v>6.9219800796109271E-4</v>
      </c>
      <c r="F5" s="1">
        <f t="shared" si="5"/>
        <v>4.5667550101010029E-6</v>
      </c>
      <c r="G5" s="1">
        <f t="shared" si="6"/>
        <v>1.4803787200417894E-4</v>
      </c>
      <c r="H5" s="1">
        <f t="shared" si="0"/>
        <v>1.7090447558891091E-2</v>
      </c>
      <c r="I5" s="2">
        <f t="shared" si="1"/>
        <v>2.395975079520493E-4</v>
      </c>
      <c r="J5" s="2">
        <f t="shared" si="7"/>
        <v>1.7095014313901192E-2</v>
      </c>
      <c r="K5" s="2">
        <f t="shared" si="8"/>
        <v>2.3973890583859681E-4</v>
      </c>
      <c r="L5" s="2">
        <f t="shared" si="9"/>
        <v>1.7243052185905369E-2</v>
      </c>
      <c r="M5" s="2">
        <f t="shared" si="10"/>
        <v>2.4434511110973923E-4</v>
      </c>
      <c r="O5" s="165" t="s">
        <v>6</v>
      </c>
      <c r="P5" s="70">
        <v>14.854892150935472</v>
      </c>
      <c r="R5" s="62" t="e">
        <f>P8*(((P7-1)/P7)^(1/P7))</f>
        <v>#NUM!</v>
      </c>
      <c r="V5">
        <v>0.01</v>
      </c>
    </row>
    <row r="6" spans="1:22" x14ac:dyDescent="0.25">
      <c r="A6" s="3">
        <v>5.8000000000000003E-2</v>
      </c>
      <c r="B6" s="4">
        <v>3.3680200000000002E-3</v>
      </c>
      <c r="C6" s="1">
        <f t="shared" si="2"/>
        <v>1.7914745025568724E-2</v>
      </c>
      <c r="D6" s="1">
        <f t="shared" si="3"/>
        <v>2.1160720896950741E-4</v>
      </c>
      <c r="E6" s="1">
        <f t="shared" si="4"/>
        <v>6.3256686315646545E-4</v>
      </c>
      <c r="F6" s="1">
        <f t="shared" si="5"/>
        <v>5.5547740231605272E-6</v>
      </c>
      <c r="G6" s="1">
        <f t="shared" si="6"/>
        <v>1.7522848851370468E-4</v>
      </c>
      <c r="H6" s="1">
        <f t="shared" si="0"/>
        <v>1.8547311888725188E-2</v>
      </c>
      <c r="I6" s="2">
        <f t="shared" si="1"/>
        <v>2.3041090224311828E-4</v>
      </c>
      <c r="J6" s="2">
        <f t="shared" si="7"/>
        <v>1.8552866662748347E-2</v>
      </c>
      <c r="K6" s="2">
        <f t="shared" si="8"/>
        <v>2.3057956817117964E-4</v>
      </c>
      <c r="L6" s="2">
        <f t="shared" si="9"/>
        <v>1.8728095151262052E-2</v>
      </c>
      <c r="M6" s="2">
        <f t="shared" si="10"/>
        <v>2.3593190865241797E-4</v>
      </c>
      <c r="O6" s="165" t="s">
        <v>18</v>
      </c>
      <c r="P6" s="70">
        <v>30.990294311603392</v>
      </c>
      <c r="R6" s="62">
        <f>P11*(((P10-1)/P10)^(1/P10))</f>
        <v>45.03635382747045</v>
      </c>
    </row>
    <row r="7" spans="1:22" x14ac:dyDescent="0.25">
      <c r="A7" s="3">
        <v>6.4000000000000001E-2</v>
      </c>
      <c r="B7" s="4">
        <v>6.2779699999999999E-3</v>
      </c>
      <c r="C7" s="1">
        <f t="shared" si="2"/>
        <v>1.9731286915105742E-2</v>
      </c>
      <c r="D7" s="1">
        <f t="shared" si="3"/>
        <v>1.8099173601827026E-4</v>
      </c>
      <c r="E7" s="1">
        <f t="shared" si="4"/>
        <v>5.7330389729063594E-4</v>
      </c>
      <c r="F7" s="1">
        <f t="shared" si="5"/>
        <v>6.8793250369549857E-6</v>
      </c>
      <c r="G7" s="1">
        <f t="shared" si="6"/>
        <v>2.1065410389192532E-4</v>
      </c>
      <c r="H7" s="1">
        <f t="shared" si="0"/>
        <v>2.0304590812396377E-2</v>
      </c>
      <c r="I7" s="2">
        <f t="shared" si="1"/>
        <v>1.9674609141475118E-4</v>
      </c>
      <c r="J7" s="2">
        <f t="shared" si="7"/>
        <v>2.031147013743333E-2</v>
      </c>
      <c r="K7" s="2">
        <f t="shared" si="8"/>
        <v>1.9693912610734126E-4</v>
      </c>
      <c r="L7" s="2">
        <f t="shared" si="9"/>
        <v>2.0522124241325254E-2</v>
      </c>
      <c r="M7" s="2">
        <f t="shared" si="10"/>
        <v>2.028959300506642E-4</v>
      </c>
      <c r="O7" s="165" t="s">
        <v>7</v>
      </c>
      <c r="P7" s="70">
        <v>9.9999999999997868E-3</v>
      </c>
      <c r="R7" s="62">
        <f>P14*(((P13-1)/P13)^(1/P13))</f>
        <v>12.903209613048283</v>
      </c>
      <c r="S7" s="167"/>
    </row>
    <row r="8" spans="1:22" x14ac:dyDescent="0.25">
      <c r="A8" s="3">
        <v>7.0000000000000007E-2</v>
      </c>
      <c r="B8" s="4">
        <v>9.6538700000000002E-3</v>
      </c>
      <c r="C8" s="1">
        <f t="shared" si="2"/>
        <v>2.154459682448516E-2</v>
      </c>
      <c r="D8" s="1">
        <f t="shared" si="3"/>
        <v>1.4138938441453093E-4</v>
      </c>
      <c r="E8" s="1">
        <f t="shared" si="4"/>
        <v>5.241965946008346E-4</v>
      </c>
      <c r="F8" s="1">
        <f t="shared" si="5"/>
        <v>8.3578777904406369E-6</v>
      </c>
      <c r="G8" s="1">
        <f t="shared" si="6"/>
        <v>2.4909442330409316E-4</v>
      </c>
      <c r="H8" s="1">
        <f t="shared" si="0"/>
        <v>2.2068793419085995E-2</v>
      </c>
      <c r="I8" s="2">
        <f t="shared" si="1"/>
        <v>1.5413032350176988E-4</v>
      </c>
      <c r="J8" s="2">
        <f t="shared" si="7"/>
        <v>2.2077151296876436E-2</v>
      </c>
      <c r="K8" s="2">
        <f t="shared" si="8"/>
        <v>1.5433791818131987E-4</v>
      </c>
      <c r="L8" s="2">
        <f t="shared" si="9"/>
        <v>2.2326245720180528E-2</v>
      </c>
      <c r="M8" s="2">
        <f t="shared" si="10"/>
        <v>1.6058910639342095E-4</v>
      </c>
      <c r="O8" s="165" t="s">
        <v>8</v>
      </c>
      <c r="P8" s="70">
        <v>98.241069984182019</v>
      </c>
      <c r="R8" s="167"/>
      <c r="S8" s="167"/>
    </row>
    <row r="9" spans="1:22" x14ac:dyDescent="0.25">
      <c r="A9" s="3">
        <v>7.6999999999999999E-2</v>
      </c>
      <c r="B9" s="4">
        <v>1.2866900000000001E-2</v>
      </c>
      <c r="C9" s="1">
        <f t="shared" si="2"/>
        <v>2.3656409892891458E-2</v>
      </c>
      <c r="D9" s="1">
        <f t="shared" si="3"/>
        <v>1.1641352372880263E-4</v>
      </c>
      <c r="E9" s="1">
        <f t="shared" si="4"/>
        <v>4.7657390806092522E-4</v>
      </c>
      <c r="F9" s="1">
        <f t="shared" si="5"/>
        <v>1.0280692213062899E-5</v>
      </c>
      <c r="G9" s="1">
        <f t="shared" si="6"/>
        <v>2.9770540267868803E-4</v>
      </c>
      <c r="H9" s="1">
        <f t="shared" si="0"/>
        <v>2.4132983800952384E-2</v>
      </c>
      <c r="I9" s="2">
        <f t="shared" si="1"/>
        <v>1.269246442100817E-4</v>
      </c>
      <c r="J9" s="2">
        <f t="shared" si="7"/>
        <v>2.4143264493165447E-2</v>
      </c>
      <c r="K9" s="2">
        <f t="shared" si="8"/>
        <v>1.2715639618272241E-4</v>
      </c>
      <c r="L9" s="2">
        <f t="shared" si="9"/>
        <v>2.4440969895844135E-2</v>
      </c>
      <c r="M9" s="2">
        <f t="shared" si="10"/>
        <v>1.3395909395388545E-4</v>
      </c>
      <c r="O9" s="165" t="s">
        <v>19</v>
      </c>
      <c r="P9" s="70">
        <v>9.9999999999988987E-3</v>
      </c>
      <c r="R9" s="167"/>
      <c r="S9" s="167"/>
    </row>
    <row r="10" spans="1:22" x14ac:dyDescent="0.25">
      <c r="A10" s="3">
        <v>8.4000000000000005E-2</v>
      </c>
      <c r="B10" s="4">
        <v>1.6003199999999999E-2</v>
      </c>
      <c r="C10" s="1">
        <f t="shared" si="2"/>
        <v>2.576456928382018E-2</v>
      </c>
      <c r="D10" s="1">
        <f t="shared" si="3"/>
        <v>9.5284330295108122E-5</v>
      </c>
      <c r="E10" s="1">
        <f t="shared" si="4"/>
        <v>4.3688549687533626E-4</v>
      </c>
      <c r="F10" s="1">
        <f t="shared" si="5"/>
        <v>1.2419916447929344E-5</v>
      </c>
      <c r="G10" s="1">
        <f t="shared" si="6"/>
        <v>3.5032256045132611E-4</v>
      </c>
      <c r="H10" s="1">
        <f t="shared" si="0"/>
        <v>2.6201454780695518E-2</v>
      </c>
      <c r="I10" s="2">
        <f t="shared" si="1"/>
        <v>1.04004400571979E-4</v>
      </c>
      <c r="J10" s="2">
        <f t="shared" si="7"/>
        <v>2.6213874697143449E-2</v>
      </c>
      <c r="K10" s="2">
        <f t="shared" si="8"/>
        <v>1.0425787777088549E-4</v>
      </c>
      <c r="L10" s="2">
        <f t="shared" si="9"/>
        <v>2.6564197257594777E-2</v>
      </c>
      <c r="M10" s="2">
        <f t="shared" si="10"/>
        <v>1.1153466307492441E-4</v>
      </c>
      <c r="O10" s="165" t="s">
        <v>9</v>
      </c>
      <c r="P10" s="70">
        <v>3.172517692562518</v>
      </c>
      <c r="R10" s="167"/>
      <c r="S10" s="167"/>
    </row>
    <row r="11" spans="1:22" x14ac:dyDescent="0.25">
      <c r="A11" s="3">
        <v>9.2999999999999999E-2</v>
      </c>
      <c r="B11" s="4">
        <v>1.9402099999999999E-2</v>
      </c>
      <c r="C11" s="1">
        <f t="shared" si="2"/>
        <v>2.8470176264657216E-2</v>
      </c>
      <c r="D11" s="1">
        <f t="shared" si="3"/>
        <v>8.2230007141639592E-5</v>
      </c>
      <c r="E11" s="1">
        <f t="shared" si="4"/>
        <v>3.9463346001500843E-4</v>
      </c>
      <c r="F11" s="1">
        <f t="shared" si="5"/>
        <v>1.5493584776674379E-5</v>
      </c>
      <c r="G11" s="1">
        <f t="shared" si="6"/>
        <v>4.2378792025874091E-4</v>
      </c>
      <c r="H11" s="1">
        <f t="shared" si="0"/>
        <v>2.8864809724672223E-2</v>
      </c>
      <c r="I11" s="2">
        <f t="shared" si="1"/>
        <v>8.9542875333406294E-5</v>
      </c>
      <c r="J11" s="2">
        <f t="shared" si="7"/>
        <v>2.8880303309448897E-2</v>
      </c>
      <c r="K11" s="2">
        <f t="shared" si="8"/>
        <v>8.9836337975248047E-5</v>
      </c>
      <c r="L11" s="2">
        <f t="shared" si="9"/>
        <v>2.9304091229707639E-2</v>
      </c>
      <c r="M11" s="2">
        <f t="shared" si="10"/>
        <v>9.8049430313207033E-5</v>
      </c>
      <c r="O11" s="165" t="s">
        <v>10</v>
      </c>
      <c r="P11" s="70">
        <v>50.745332573169676</v>
      </c>
      <c r="R11" s="167"/>
      <c r="S11" s="167"/>
    </row>
    <row r="12" spans="1:22" x14ac:dyDescent="0.25">
      <c r="A12" s="3">
        <v>0.10199999999999999</v>
      </c>
      <c r="B12" s="4">
        <v>2.2970000000000001E-2</v>
      </c>
      <c r="C12" s="1">
        <f t="shared" si="2"/>
        <v>3.1170778556614844E-2</v>
      </c>
      <c r="D12" s="1">
        <f t="shared" si="3"/>
        <v>6.7252768934633833E-5</v>
      </c>
      <c r="E12" s="1">
        <f t="shared" si="4"/>
        <v>3.5983507241035427E-4</v>
      </c>
      <c r="F12" s="1">
        <f t="shared" si="5"/>
        <v>1.8936830404643519E-5</v>
      </c>
      <c r="G12" s="1">
        <f t="shared" si="6"/>
        <v>5.0371579636752906E-4</v>
      </c>
      <c r="H12" s="1">
        <f t="shared" si="0"/>
        <v>3.1530613629025199E-2</v>
      </c>
      <c r="I12" s="2">
        <f t="shared" si="1"/>
        <v>7.3284105705451972E-5</v>
      </c>
      <c r="J12" s="2">
        <f t="shared" si="7"/>
        <v>3.1549550459429844E-2</v>
      </c>
      <c r="K12" s="2">
        <f t="shared" si="8"/>
        <v>7.3608686085902829E-5</v>
      </c>
      <c r="L12" s="2">
        <f t="shared" si="9"/>
        <v>3.2053266255797373E-2</v>
      </c>
      <c r="M12" s="2">
        <f t="shared" si="10"/>
        <v>8.2505725873707221E-5</v>
      </c>
      <c r="O12" s="165" t="s">
        <v>20</v>
      </c>
      <c r="P12" s="70">
        <v>218.84479175938972</v>
      </c>
      <c r="R12" s="167"/>
      <c r="S12" s="167"/>
    </row>
    <row r="13" spans="1:22" x14ac:dyDescent="0.25">
      <c r="A13" s="3">
        <v>0.112</v>
      </c>
      <c r="B13" s="4">
        <v>2.64093E-2</v>
      </c>
      <c r="C13" s="1">
        <f t="shared" si="2"/>
        <v>3.4166108875707729E-2</v>
      </c>
      <c r="D13" s="1">
        <f t="shared" si="3"/>
        <v>6.0168083934258202E-5</v>
      </c>
      <c r="E13" s="1">
        <f t="shared" si="4"/>
        <v>3.2772715727841738E-4</v>
      </c>
      <c r="F13" s="1">
        <f t="shared" si="5"/>
        <v>2.320332852431549E-5</v>
      </c>
      <c r="G13" s="1">
        <f t="shared" si="6"/>
        <v>6.0001062978323391E-4</v>
      </c>
      <c r="H13" s="1">
        <f t="shared" si="0"/>
        <v>3.4493836032986148E-2</v>
      </c>
      <c r="I13" s="2">
        <f t="shared" si="1"/>
        <v>6.5359722868651407E-5</v>
      </c>
      <c r="J13" s="2">
        <f t="shared" si="7"/>
        <v>3.4517039361510467E-2</v>
      </c>
      <c r="K13" s="2">
        <f t="shared" si="8"/>
        <v>6.5735437554186155E-5</v>
      </c>
      <c r="L13" s="2">
        <f t="shared" si="9"/>
        <v>3.5117049991293697E-2</v>
      </c>
      <c r="M13" s="2">
        <f t="shared" si="10"/>
        <v>7.5824909910875377E-5</v>
      </c>
      <c r="O13" s="165" t="s">
        <v>11</v>
      </c>
      <c r="P13" s="70">
        <v>2.8704449619174799</v>
      </c>
      <c r="R13" s="167"/>
      <c r="S13" s="167"/>
    </row>
    <row r="14" spans="1:22" x14ac:dyDescent="0.25">
      <c r="A14" s="3">
        <v>0.122</v>
      </c>
      <c r="B14" s="4">
        <v>2.9835199999999999E-2</v>
      </c>
      <c r="C14" s="1">
        <f t="shared" si="2"/>
        <v>3.7156297479048583E-2</v>
      </c>
      <c r="D14" s="1">
        <f t="shared" si="3"/>
        <v>5.3598468297731536E-5</v>
      </c>
      <c r="E14" s="1">
        <f t="shared" si="4"/>
        <v>3.0088103224297562E-4</v>
      </c>
      <c r="F14" s="1">
        <f t="shared" si="5"/>
        <v>2.7940972864330691E-5</v>
      </c>
      <c r="G14" s="1">
        <f t="shared" si="6"/>
        <v>7.0409385954972863E-4</v>
      </c>
      <c r="H14" s="1">
        <f t="shared" si="0"/>
        <v>3.7457178511291558E-2</v>
      </c>
      <c r="I14" s="2">
        <f t="shared" si="1"/>
        <v>5.8094556426590293E-5</v>
      </c>
      <c r="J14" s="2">
        <f t="shared" si="7"/>
        <v>3.7485119484155886E-2</v>
      </c>
      <c r="K14" s="2">
        <f t="shared" si="8"/>
        <v>5.8521268114067871E-5</v>
      </c>
      <c r="L14" s="2">
        <f t="shared" si="9"/>
        <v>3.8189213343705612E-2</v>
      </c>
      <c r="M14" s="2">
        <f t="shared" si="10"/>
        <v>6.9789538946811433E-5</v>
      </c>
      <c r="O14" s="165" t="s">
        <v>12</v>
      </c>
      <c r="P14" s="70">
        <v>14.9795084843201</v>
      </c>
      <c r="R14" s="167"/>
      <c r="S14" s="167"/>
    </row>
    <row r="15" spans="1:22" ht="15.75" thickBot="1" x14ac:dyDescent="0.3">
      <c r="A15" s="3">
        <v>0.13400000000000001</v>
      </c>
      <c r="B15" s="4">
        <v>3.3326300000000003E-2</v>
      </c>
      <c r="C15" s="1">
        <f t="shared" si="2"/>
        <v>4.0738314019179767E-2</v>
      </c>
      <c r="D15" s="1">
        <f t="shared" si="3"/>
        <v>5.4937951820517347E-5</v>
      </c>
      <c r="E15" s="1">
        <f t="shared" si="4"/>
        <v>2.7395298372524183E-4</v>
      </c>
      <c r="F15" s="1">
        <f t="shared" si="5"/>
        <v>3.4257895952367399E-5</v>
      </c>
      <c r="G15" s="1">
        <f t="shared" si="6"/>
        <v>8.3915394603126193E-4</v>
      </c>
      <c r="H15" s="1">
        <f t="shared" si="0"/>
        <v>4.1012267002905008E-2</v>
      </c>
      <c r="I15" s="2">
        <f t="shared" si="1"/>
        <v>5.9074088769744536E-5</v>
      </c>
      <c r="J15" s="2">
        <f t="shared" si="7"/>
        <v>4.1046524898857378E-2</v>
      </c>
      <c r="K15" s="2">
        <f t="shared" si="8"/>
        <v>5.9601872488937368E-5</v>
      </c>
      <c r="L15" s="2">
        <f t="shared" si="9"/>
        <v>4.1885678844888641E-2</v>
      </c>
      <c r="M15" s="2">
        <f t="shared" si="10"/>
        <v>7.3262966210327151E-5</v>
      </c>
      <c r="O15" s="166" t="s">
        <v>21</v>
      </c>
      <c r="P15" s="71">
        <v>29.702737716163789</v>
      </c>
      <c r="R15" s="167"/>
      <c r="S15" s="167"/>
    </row>
    <row r="16" spans="1:22" x14ac:dyDescent="0.25">
      <c r="A16" s="3">
        <v>0.14799999999999999</v>
      </c>
      <c r="B16" s="4">
        <v>3.6864000000000001E-2</v>
      </c>
      <c r="C16" s="1">
        <f t="shared" si="2"/>
        <v>4.49095101301977E-2</v>
      </c>
      <c r="D16" s="1">
        <f t="shared" si="3"/>
        <v>6.473023325511379E-5</v>
      </c>
      <c r="E16" s="1">
        <f t="shared" si="4"/>
        <v>2.480541345514944E-4</v>
      </c>
      <c r="F16" s="1">
        <f t="shared" si="5"/>
        <v>4.251281381238953E-5</v>
      </c>
      <c r="G16" s="1">
        <f t="shared" si="6"/>
        <v>1.0105646214920276E-3</v>
      </c>
      <c r="H16" s="1">
        <f t="shared" si="0"/>
        <v>4.5157564264749192E-2</v>
      </c>
      <c r="I16" s="2">
        <f t="shared" si="1"/>
        <v>6.8783208213524786E-5</v>
      </c>
      <c r="J16" s="2">
        <f t="shared" si="7"/>
        <v>4.5200077078561579E-2</v>
      </c>
      <c r="K16" s="2">
        <f t="shared" si="8"/>
        <v>6.9490181059719735E-5</v>
      </c>
      <c r="L16" s="2">
        <f t="shared" si="9"/>
        <v>4.6210641700053609E-2</v>
      </c>
      <c r="M16" s="2">
        <f t="shared" si="10"/>
        <v>8.7359711069180996E-5</v>
      </c>
      <c r="O16" t="s">
        <v>13</v>
      </c>
      <c r="P16">
        <v>1.7863354892128089</v>
      </c>
      <c r="R16" s="167"/>
      <c r="S16" s="167"/>
    </row>
    <row r="17" spans="1:20" x14ac:dyDescent="0.25">
      <c r="A17" s="3">
        <v>0.16200000000000001</v>
      </c>
      <c r="B17" s="4">
        <v>4.0454999999999998E-2</v>
      </c>
      <c r="C17" s="1">
        <f t="shared" si="2"/>
        <v>4.9073011233935107E-2</v>
      </c>
      <c r="D17" s="1">
        <f t="shared" si="3"/>
        <v>7.4270117628231745E-5</v>
      </c>
      <c r="E17" s="1">
        <f t="shared" si="4"/>
        <v>2.2663015740195748E-4</v>
      </c>
      <c r="F17" s="1">
        <f t="shared" si="5"/>
        <v>5.1736653816156991E-5</v>
      </c>
      <c r="G17" s="1">
        <f t="shared" si="6"/>
        <v>1.1966991982573481E-3</v>
      </c>
      <c r="H17" s="1">
        <f t="shared" si="0"/>
        <v>4.9299641391337065E-2</v>
      </c>
      <c r="I17" s="2">
        <f t="shared" si="1"/>
        <v>7.8227681341352893E-5</v>
      </c>
      <c r="J17" s="2">
        <f t="shared" si="7"/>
        <v>4.9351378045153223E-2</v>
      </c>
      <c r="K17" s="2">
        <f t="shared" si="8"/>
        <v>7.9145542322284318E-5</v>
      </c>
      <c r="L17" s="2">
        <f t="shared" si="9"/>
        <v>5.0548077243410573E-2</v>
      </c>
      <c r="M17" s="2">
        <f t="shared" si="10"/>
        <v>1.0187020824145241E-4</v>
      </c>
      <c r="O17" t="s">
        <v>14</v>
      </c>
      <c r="P17">
        <v>2.3015170045274704</v>
      </c>
      <c r="R17" s="167"/>
      <c r="S17" s="167"/>
    </row>
    <row r="18" spans="1:20" x14ac:dyDescent="0.25">
      <c r="A18" s="3">
        <v>0.17799999999999999</v>
      </c>
      <c r="B18" s="4">
        <v>4.42911E-2</v>
      </c>
      <c r="C18" s="1">
        <f t="shared" si="2"/>
        <v>5.3822683329392038E-2</v>
      </c>
      <c r="D18" s="1">
        <f t="shared" si="3"/>
        <v>9.0851080765144208E-5</v>
      </c>
      <c r="E18" s="1">
        <f t="shared" si="4"/>
        <v>2.0627087936593954E-4</v>
      </c>
      <c r="F18" s="1">
        <f t="shared" si="5"/>
        <v>6.3484125882100361E-5</v>
      </c>
      <c r="G18" s="1">
        <f t="shared" si="6"/>
        <v>1.4272341273367315E-3</v>
      </c>
      <c r="H18" s="1">
        <f t="shared" si="0"/>
        <v>5.402895420875798E-2</v>
      </c>
      <c r="I18" s="2">
        <f t="shared" si="1"/>
        <v>9.4825804591025506E-5</v>
      </c>
      <c r="J18" s="2">
        <f t="shared" si="7"/>
        <v>5.4092438334640079E-2</v>
      </c>
      <c r="K18" s="2">
        <f t="shared" si="8"/>
        <v>9.606623315008516E-5</v>
      </c>
      <c r="L18" s="2">
        <f t="shared" si="9"/>
        <v>5.551967246197681E-2</v>
      </c>
      <c r="M18" s="2">
        <f t="shared" si="10"/>
        <v>1.2608083953386396E-4</v>
      </c>
      <c r="O18" t="s">
        <v>22</v>
      </c>
      <c r="P18">
        <v>-0.89486687880028082</v>
      </c>
      <c r="R18" s="167"/>
      <c r="S18" s="167"/>
    </row>
    <row r="19" spans="1:20" x14ac:dyDescent="0.25">
      <c r="A19" s="3">
        <v>0.19500000000000001</v>
      </c>
      <c r="B19" s="4">
        <v>4.854E-2</v>
      </c>
      <c r="C19" s="1">
        <f t="shared" si="2"/>
        <v>5.8859969538673319E-2</v>
      </c>
      <c r="D19" s="1">
        <f t="shared" si="3"/>
        <v>1.0650177127914521E-4</v>
      </c>
      <c r="E19" s="1">
        <f t="shared" si="4"/>
        <v>1.8829872461325402E-4</v>
      </c>
      <c r="F19" s="1">
        <f t="shared" si="5"/>
        <v>7.7397793689911473E-5</v>
      </c>
      <c r="G19" s="1">
        <f t="shared" si="6"/>
        <v>1.6927459383254619E-3</v>
      </c>
      <c r="H19" s="1">
        <f t="shared" si="0"/>
        <v>5.9048268263286574E-2</v>
      </c>
      <c r="I19" s="2">
        <f t="shared" si="1"/>
        <v>1.1042370189319584E-4</v>
      </c>
      <c r="J19" s="2">
        <f t="shared" si="7"/>
        <v>5.9125666056976486E-2</v>
      </c>
      <c r="K19" s="2">
        <f t="shared" si="8"/>
        <v>1.1205632586982411E-4</v>
      </c>
      <c r="L19" s="2">
        <f t="shared" si="9"/>
        <v>6.0818411995301948E-2</v>
      </c>
      <c r="M19" s="2">
        <f t="shared" si="10"/>
        <v>1.5075940112637478E-4</v>
      </c>
      <c r="R19" s="167"/>
      <c r="S19" s="167"/>
      <c r="T19" t="e">
        <f>LOOKUP(S19,C2:C101)</f>
        <v>#N/A</v>
      </c>
    </row>
    <row r="20" spans="1:20" x14ac:dyDescent="0.25">
      <c r="A20" s="3">
        <v>0.214</v>
      </c>
      <c r="B20" s="4">
        <v>5.3223899999999998E-2</v>
      </c>
      <c r="C20" s="1">
        <f t="shared" si="2"/>
        <v>6.4479530566899909E-2</v>
      </c>
      <c r="D20" s="1">
        <f t="shared" si="3"/>
        <v>1.2668921945853162E-4</v>
      </c>
      <c r="E20" s="1">
        <f t="shared" si="4"/>
        <v>1.7159016781568626E-4</v>
      </c>
      <c r="F20" s="1">
        <f t="shared" si="5"/>
        <v>9.472247155593428E-5</v>
      </c>
      <c r="G20" s="1">
        <f t="shared" si="6"/>
        <v>2.0142726978142804E-3</v>
      </c>
      <c r="H20" s="1">
        <f t="shared" si="0"/>
        <v>6.46511207347156E-2</v>
      </c>
      <c r="I20" s="2">
        <f t="shared" si="1"/>
        <v>1.305813737199142E-4</v>
      </c>
      <c r="J20" s="2">
        <f t="shared" si="7"/>
        <v>6.4745843206271539E-2</v>
      </c>
      <c r="K20" s="2">
        <f t="shared" si="8"/>
        <v>1.3275517524854693E-4</v>
      </c>
      <c r="L20" s="2">
        <f t="shared" si="9"/>
        <v>6.6760115904085815E-2</v>
      </c>
      <c r="M20" s="2">
        <f t="shared" si="10"/>
        <v>1.8322914100202581E-4</v>
      </c>
      <c r="O20" t="s">
        <v>23</v>
      </c>
      <c r="P20">
        <f>P6+P9+P12+P15+P18</f>
        <v>278.65295690835666</v>
      </c>
    </row>
    <row r="21" spans="1:20" x14ac:dyDescent="0.25">
      <c r="A21" s="3">
        <v>0.23499999999999999</v>
      </c>
      <c r="B21" s="4">
        <v>5.8327400000000001E-2</v>
      </c>
      <c r="C21" s="1">
        <f t="shared" si="2"/>
        <v>7.0678931932374428E-2</v>
      </c>
      <c r="D21" s="1">
        <f t="shared" si="3"/>
        <v>1.5256034107646513E-4</v>
      </c>
      <c r="E21" s="1">
        <f t="shared" si="4"/>
        <v>1.5626521020465091E-4</v>
      </c>
      <c r="F21" s="1">
        <f t="shared" si="5"/>
        <v>1.1608463614711526E-4</v>
      </c>
      <c r="G21" s="1">
        <f t="shared" si="6"/>
        <v>2.3997103527956939E-3</v>
      </c>
      <c r="H21" s="1">
        <f t="shared" si="0"/>
        <v>7.0835197142579076E-2</v>
      </c>
      <c r="I21" s="2">
        <f t="shared" si="1"/>
        <v>1.5644498935990926E-4</v>
      </c>
      <c r="J21" s="2">
        <f t="shared" si="7"/>
        <v>7.0951281778726186E-2</v>
      </c>
      <c r="K21" s="2">
        <f t="shared" si="8"/>
        <v>1.5936239116325497E-4</v>
      </c>
      <c r="L21" s="2">
        <f t="shared" si="9"/>
        <v>7.335099213152188E-2</v>
      </c>
      <c r="M21" s="2">
        <f t="shared" si="10"/>
        <v>2.2570832053432611E-4</v>
      </c>
    </row>
    <row r="22" spans="1:20" x14ac:dyDescent="0.25">
      <c r="A22" s="3">
        <v>0.25800000000000001</v>
      </c>
      <c r="B22" s="4">
        <v>6.3824699999999998E-2</v>
      </c>
      <c r="C22" s="1">
        <f t="shared" si="2"/>
        <v>7.7455771292463893E-2</v>
      </c>
      <c r="D22" s="1">
        <f t="shared" si="3"/>
        <v>1.8580610458023331E-4</v>
      </c>
      <c r="E22" s="1">
        <f t="shared" si="4"/>
        <v>1.4234231671353916E-4</v>
      </c>
      <c r="F22" s="1">
        <f t="shared" si="5"/>
        <v>1.4219172944684435E-4</v>
      </c>
      <c r="G22" s="1">
        <f t="shared" si="6"/>
        <v>2.8576427477057195E-3</v>
      </c>
      <c r="H22" s="1">
        <f t="shared" si="0"/>
        <v>7.7598113609177427E-2</v>
      </c>
      <c r="I22" s="2">
        <f t="shared" si="1"/>
        <v>1.89706922449474E-4</v>
      </c>
      <c r="J22" s="2">
        <f t="shared" si="7"/>
        <v>7.7740305338624277E-2</v>
      </c>
      <c r="K22" s="2">
        <f t="shared" si="8"/>
        <v>1.9364407194034854E-4</v>
      </c>
      <c r="L22" s="2">
        <f t="shared" si="9"/>
        <v>8.0597948086330001E-2</v>
      </c>
      <c r="M22" s="2">
        <f t="shared" si="10"/>
        <v>2.8134185136557309E-4</v>
      </c>
    </row>
    <row r="23" spans="1:20" x14ac:dyDescent="0.25">
      <c r="A23" s="3">
        <v>0.28399999999999997</v>
      </c>
      <c r="B23" s="4">
        <v>6.9753200000000001E-2</v>
      </c>
      <c r="C23" s="1">
        <f t="shared" si="2"/>
        <v>8.5101462385480039E-2</v>
      </c>
      <c r="D23" s="1">
        <f t="shared" si="3"/>
        <v>2.3556915825354138E-4</v>
      </c>
      <c r="E23" s="1">
        <f t="shared" si="4"/>
        <v>1.293180846599717E-4</v>
      </c>
      <c r="F23" s="1">
        <f t="shared" si="5"/>
        <v>1.751722662576541E-4</v>
      </c>
      <c r="G23" s="1">
        <f t="shared" si="6"/>
        <v>3.4198081440106084E-3</v>
      </c>
      <c r="H23" s="1">
        <f t="shared" si="0"/>
        <v>8.5230780470140016E-2</v>
      </c>
      <c r="I23" s="2">
        <f t="shared" si="1"/>
        <v>2.3955549720965961E-4</v>
      </c>
      <c r="J23" s="2">
        <f t="shared" si="7"/>
        <v>8.5405952736397672E-2</v>
      </c>
      <c r="K23" s="2">
        <f t="shared" si="8"/>
        <v>2.4500866822680479E-4</v>
      </c>
      <c r="L23" s="2">
        <f t="shared" si="9"/>
        <v>8.8825760880408278E-2</v>
      </c>
      <c r="M23" s="2">
        <f t="shared" si="10"/>
        <v>3.6376257853688014E-4</v>
      </c>
    </row>
    <row r="24" spans="1:20" x14ac:dyDescent="0.25">
      <c r="A24" s="3">
        <v>0.311</v>
      </c>
      <c r="B24" s="4">
        <v>7.5976000000000002E-2</v>
      </c>
      <c r="C24" s="1">
        <f t="shared" si="2"/>
        <v>9.3025521332567446E-2</v>
      </c>
      <c r="D24" s="1">
        <f t="shared" si="3"/>
        <v>2.9068617766967234E-4</v>
      </c>
      <c r="E24" s="1">
        <f t="shared" si="4"/>
        <v>1.1809715711124493E-4</v>
      </c>
      <c r="F24" s="1">
        <f t="shared" si="5"/>
        <v>2.1338008679972438E-4</v>
      </c>
      <c r="G24" s="1">
        <f t="shared" si="6"/>
        <v>4.0529799061391151E-3</v>
      </c>
      <c r="H24" s="1">
        <f t="shared" si="0"/>
        <v>9.3143618489678684E-2</v>
      </c>
      <c r="I24" s="2">
        <f t="shared" si="1"/>
        <v>2.9472712460715733E-4</v>
      </c>
      <c r="J24" s="2">
        <f t="shared" si="7"/>
        <v>9.3356998576478403E-2</v>
      </c>
      <c r="K24" s="2">
        <f t="shared" si="8"/>
        <v>3.020991115155442E-4</v>
      </c>
      <c r="L24" s="2">
        <f t="shared" si="9"/>
        <v>9.7409978482617524E-2</v>
      </c>
      <c r="M24" s="2">
        <f t="shared" si="10"/>
        <v>4.5941543359331091E-4</v>
      </c>
    </row>
    <row r="25" spans="1:20" x14ac:dyDescent="0.25">
      <c r="A25" s="3">
        <v>0.34200000000000003</v>
      </c>
      <c r="B25" s="4">
        <v>8.2492499999999996E-2</v>
      </c>
      <c r="C25" s="1">
        <f t="shared" si="2"/>
        <v>0.10210518847213977</v>
      </c>
      <c r="D25" s="1">
        <f t="shared" si="3"/>
        <v>3.8465754910520439E-4</v>
      </c>
      <c r="E25" s="1">
        <f t="shared" si="4"/>
        <v>1.0739810550834156E-4</v>
      </c>
      <c r="F25" s="1">
        <f t="shared" si="5"/>
        <v>2.623036737251246E-4</v>
      </c>
      <c r="G25" s="1">
        <f t="shared" si="6"/>
        <v>4.8412520047676896E-3</v>
      </c>
      <c r="H25" s="1">
        <f t="shared" si="0"/>
        <v>0.10221258657764812</v>
      </c>
      <c r="I25" s="2">
        <f t="shared" si="1"/>
        <v>3.8888181462993761E-4</v>
      </c>
      <c r="J25" s="2">
        <f t="shared" si="7"/>
        <v>0.10247489025137324</v>
      </c>
      <c r="K25" s="2">
        <f t="shared" si="8"/>
        <v>3.9929592015817647E-4</v>
      </c>
      <c r="L25" s="2">
        <f t="shared" si="9"/>
        <v>0.10731614225614093</v>
      </c>
      <c r="M25" s="2">
        <f t="shared" si="10"/>
        <v>6.1621321486086576E-4</v>
      </c>
    </row>
    <row r="26" spans="1:20" x14ac:dyDescent="0.25">
      <c r="A26" s="5">
        <v>0.375</v>
      </c>
      <c r="B26" s="4">
        <v>8.9397099999999993E-2</v>
      </c>
      <c r="C26" s="1">
        <f t="shared" si="2"/>
        <v>0.11175054124928109</v>
      </c>
      <c r="D26" s="1">
        <f t="shared" si="3"/>
        <v>4.9967633568506168E-4</v>
      </c>
      <c r="E26" s="1">
        <f t="shared" si="4"/>
        <v>9.7951998242043427E-5</v>
      </c>
      <c r="F26" s="1">
        <f t="shared" si="5"/>
        <v>3.2041753547416298E-4</v>
      </c>
      <c r="G26" s="1">
        <f t="shared" si="6"/>
        <v>5.7515194167347336E-3</v>
      </c>
      <c r="H26" s="1">
        <f t="shared" si="0"/>
        <v>0.11184849324752313</v>
      </c>
      <c r="I26" s="2">
        <f t="shared" si="1"/>
        <v>5.0406505875492773E-4</v>
      </c>
      <c r="J26" s="2">
        <f t="shared" si="7"/>
        <v>0.1121689107829973</v>
      </c>
      <c r="K26" s="2">
        <f t="shared" si="8"/>
        <v>5.1855536633663255E-4</v>
      </c>
      <c r="L26" s="2">
        <f t="shared" si="9"/>
        <v>0.11792043019973203</v>
      </c>
      <c r="M26" s="2">
        <f t="shared" si="10"/>
        <v>8.1358036568294557E-4</v>
      </c>
    </row>
    <row r="27" spans="1:20" x14ac:dyDescent="0.25">
      <c r="A27" s="5">
        <v>0.41199999999999998</v>
      </c>
      <c r="B27" s="4">
        <v>9.70641E-2</v>
      </c>
      <c r="C27" s="1">
        <f t="shared" si="2"/>
        <v>0.12254193051636163</v>
      </c>
      <c r="D27" s="1">
        <f t="shared" si="3"/>
        <v>6.4911984782044772E-4</v>
      </c>
      <c r="E27" s="1">
        <f t="shared" si="4"/>
        <v>8.9159844662419386E-5</v>
      </c>
      <c r="F27" s="1">
        <f t="shared" si="5"/>
        <v>3.9309565661223837E-4</v>
      </c>
      <c r="G27" s="1">
        <f t="shared" si="6"/>
        <v>6.8583033496811101E-3</v>
      </c>
      <c r="H27" s="1">
        <f t="shared" si="0"/>
        <v>0.12263109036102404</v>
      </c>
      <c r="I27" s="2">
        <f t="shared" si="1"/>
        <v>6.5367099612069631E-4</v>
      </c>
      <c r="J27" s="2">
        <f t="shared" si="7"/>
        <v>0.12302418601763628</v>
      </c>
      <c r="K27" s="2">
        <f t="shared" si="8"/>
        <v>6.7392606604307437E-4</v>
      </c>
      <c r="L27" s="2">
        <f t="shared" si="9"/>
        <v>0.12988248936731739</v>
      </c>
      <c r="M27" s="2">
        <f t="shared" si="10"/>
        <v>1.077046680664851E-3</v>
      </c>
    </row>
    <row r="28" spans="1:20" x14ac:dyDescent="0.25">
      <c r="A28" s="5">
        <v>0.45200000000000001</v>
      </c>
      <c r="B28" s="4">
        <v>0.10553999999999999</v>
      </c>
      <c r="C28" s="1">
        <f t="shared" si="2"/>
        <v>0.13418241733615571</v>
      </c>
      <c r="D28" s="1">
        <f t="shared" si="3"/>
        <v>8.2038807085851363E-4</v>
      </c>
      <c r="E28" s="1">
        <f t="shared" si="4"/>
        <v>8.1273571411470907E-5</v>
      </c>
      <c r="F28" s="1">
        <f t="shared" si="5"/>
        <v>4.8075407087007479E-4</v>
      </c>
      <c r="G28" s="1">
        <f t="shared" si="6"/>
        <v>8.1560764837203641E-3</v>
      </c>
      <c r="H28" s="1">
        <f t="shared" si="0"/>
        <v>0.13426369090756718</v>
      </c>
      <c r="I28" s="2">
        <f t="shared" si="1"/>
        <v>8.2505041935345769E-4</v>
      </c>
      <c r="J28" s="2">
        <f t="shared" si="7"/>
        <v>0.13474444497843727</v>
      </c>
      <c r="K28" s="2">
        <f t="shared" si="8"/>
        <v>8.5289960649856996E-4</v>
      </c>
      <c r="L28" s="2">
        <f t="shared" si="9"/>
        <v>0.14290052146215762</v>
      </c>
      <c r="M28" s="2">
        <f t="shared" si="10"/>
        <v>1.3958085639243405E-3</v>
      </c>
    </row>
    <row r="29" spans="1:20" x14ac:dyDescent="0.25">
      <c r="A29" s="5">
        <v>0.496</v>
      </c>
      <c r="B29" s="4">
        <v>0.11480899999999999</v>
      </c>
      <c r="C29" s="1">
        <f t="shared" si="2"/>
        <v>0.14695753313766138</v>
      </c>
      <c r="D29" s="1">
        <f t="shared" si="3"/>
        <v>1.0335281829033124E-3</v>
      </c>
      <c r="E29" s="1">
        <f t="shared" si="4"/>
        <v>7.4067393547989736E-5</v>
      </c>
      <c r="F29" s="1">
        <f t="shared" si="5"/>
        <v>5.8826001560453856E-4</v>
      </c>
      <c r="G29" s="1">
        <f t="shared" si="6"/>
        <v>9.7036553788274488E-3</v>
      </c>
      <c r="H29" s="1">
        <f t="shared" si="0"/>
        <v>0.14703160053120937</v>
      </c>
      <c r="I29" s="2">
        <f t="shared" si="1"/>
        <v>1.0382959849938945E-3</v>
      </c>
      <c r="J29" s="2">
        <f t="shared" si="7"/>
        <v>0.14761986054681389</v>
      </c>
      <c r="K29" s="2">
        <f t="shared" si="8"/>
        <v>1.0765525698224687E-3</v>
      </c>
      <c r="L29" s="2">
        <f t="shared" si="9"/>
        <v>0.15732351592564134</v>
      </c>
      <c r="M29" s="2">
        <f t="shared" si="10"/>
        <v>1.8074840643916114E-3</v>
      </c>
    </row>
    <row r="30" spans="1:20" x14ac:dyDescent="0.25">
      <c r="A30" s="5">
        <v>0.54500000000000004</v>
      </c>
      <c r="B30" s="4">
        <v>0.124846</v>
      </c>
      <c r="C30" s="1">
        <f t="shared" si="2"/>
        <v>0.16114979395793569</v>
      </c>
      <c r="D30" s="1">
        <f t="shared" si="3"/>
        <v>1.317965455740248E-3</v>
      </c>
      <c r="E30" s="1">
        <f t="shared" si="4"/>
        <v>6.7411366267016467E-5</v>
      </c>
      <c r="F30" s="1">
        <f t="shared" si="5"/>
        <v>7.2186743361210147E-4</v>
      </c>
      <c r="G30" s="1">
        <f t="shared" si="6"/>
        <v>1.1573285874253134E-2</v>
      </c>
      <c r="H30" s="1">
        <f t="shared" si="0"/>
        <v>0.16121720532420269</v>
      </c>
      <c r="I30" s="2">
        <f t="shared" si="1"/>
        <v>1.3228645767353105E-3</v>
      </c>
      <c r="J30" s="2">
        <f t="shared" si="7"/>
        <v>0.1619390727578148</v>
      </c>
      <c r="K30" s="2">
        <f t="shared" si="8"/>
        <v>1.3758960466165426E-3</v>
      </c>
      <c r="L30" s="2">
        <f t="shared" si="9"/>
        <v>0.17351235863206793</v>
      </c>
      <c r="M30" s="2">
        <f t="shared" si="10"/>
        <v>2.368414462505053E-3</v>
      </c>
    </row>
    <row r="31" spans="1:20" x14ac:dyDescent="0.25">
      <c r="A31" s="5">
        <v>0.59799999999999998</v>
      </c>
      <c r="B31" s="4">
        <v>0.135967</v>
      </c>
      <c r="C31" s="1">
        <f t="shared" si="2"/>
        <v>0.17646125251532641</v>
      </c>
      <c r="D31" s="1">
        <f t="shared" si="3"/>
        <v>1.6397844867750185E-3</v>
      </c>
      <c r="E31" s="1">
        <f t="shared" si="4"/>
        <v>6.1439641284526464E-5</v>
      </c>
      <c r="F31" s="1">
        <f t="shared" si="5"/>
        <v>8.8312056730172582E-4</v>
      </c>
      <c r="G31" s="1">
        <f t="shared" si="6"/>
        <v>1.3766849409588817E-2</v>
      </c>
      <c r="H31" s="1">
        <f t="shared" si="0"/>
        <v>0.17652269215661093</v>
      </c>
      <c r="I31" s="2">
        <f t="shared" si="1"/>
        <v>1.6447641663017928E-3</v>
      </c>
      <c r="J31" s="2">
        <f t="shared" si="7"/>
        <v>0.17740581272391265</v>
      </c>
      <c r="K31" s="2">
        <f t="shared" si="8"/>
        <v>1.7171751999675044E-3</v>
      </c>
      <c r="L31" s="2">
        <f t="shared" si="9"/>
        <v>0.19117266213350145</v>
      </c>
      <c r="M31" s="2">
        <f t="shared" si="10"/>
        <v>3.0476651315983158E-3</v>
      </c>
    </row>
    <row r="32" spans="1:20" x14ac:dyDescent="0.25">
      <c r="A32" s="5">
        <v>0.65600000000000003</v>
      </c>
      <c r="B32" s="4">
        <v>0.148339</v>
      </c>
      <c r="C32" s="1">
        <f t="shared" si="2"/>
        <v>0.19317188912184491</v>
      </c>
      <c r="D32" s="1">
        <f t="shared" si="3"/>
        <v>2.0099879470116397E-3</v>
      </c>
      <c r="E32" s="1">
        <f t="shared" si="4"/>
        <v>5.6010033767990263E-5</v>
      </c>
      <c r="F32" s="1">
        <f t="shared" si="5"/>
        <v>1.0798436199250139E-3</v>
      </c>
      <c r="G32" s="1">
        <f t="shared" si="6"/>
        <v>1.6368868180785309E-2</v>
      </c>
      <c r="H32" s="1">
        <f t="shared" si="0"/>
        <v>0.19322789915561289</v>
      </c>
      <c r="I32" s="2">
        <f t="shared" si="1"/>
        <v>2.0150132674027839E-3</v>
      </c>
      <c r="J32" s="2">
        <f t="shared" si="7"/>
        <v>0.19430774277553792</v>
      </c>
      <c r="K32" s="2">
        <f t="shared" si="8"/>
        <v>2.1131253123635695E-3</v>
      </c>
      <c r="L32" s="2">
        <f t="shared" si="9"/>
        <v>0.21067661095632323</v>
      </c>
      <c r="M32" s="2">
        <f t="shared" si="10"/>
        <v>3.8859777397419102E-3</v>
      </c>
    </row>
    <row r="33" spans="1:20" x14ac:dyDescent="0.25">
      <c r="A33" s="5">
        <v>0.72099999999999997</v>
      </c>
      <c r="B33" s="4">
        <v>0.162052</v>
      </c>
      <c r="C33" s="1">
        <f t="shared" si="2"/>
        <v>0.21184453567126141</v>
      </c>
      <c r="D33" s="1">
        <f t="shared" si="3"/>
        <v>2.4792966085738395E-3</v>
      </c>
      <c r="E33" s="1">
        <f t="shared" si="4"/>
        <v>5.0962916195837951E-5</v>
      </c>
      <c r="F33" s="1">
        <f t="shared" si="5"/>
        <v>1.3258738626450387E-3</v>
      </c>
      <c r="G33" s="1">
        <f t="shared" si="6"/>
        <v>1.953208620112936E-2</v>
      </c>
      <c r="H33" s="1">
        <f t="shared" si="0"/>
        <v>0.21189549858745724</v>
      </c>
      <c r="I33" s="2">
        <f t="shared" si="1"/>
        <v>2.4843743514378516E-3</v>
      </c>
      <c r="J33" s="2">
        <f t="shared" si="7"/>
        <v>0.21322137245010228</v>
      </c>
      <c r="K33" s="2">
        <f t="shared" si="8"/>
        <v>2.6183046769372863E-3</v>
      </c>
      <c r="L33" s="2">
        <f t="shared" si="9"/>
        <v>0.23275345865123165</v>
      </c>
      <c r="M33" s="2">
        <f t="shared" si="10"/>
        <v>4.998696255411818E-3</v>
      </c>
      <c r="T33" t="b">
        <f>$Q$16=0</f>
        <v>1</v>
      </c>
    </row>
    <row r="34" spans="1:20" x14ac:dyDescent="0.25">
      <c r="A34" s="5">
        <v>0.79100000000000004</v>
      </c>
      <c r="B34" s="4">
        <v>0.177144</v>
      </c>
      <c r="C34" s="1">
        <f t="shared" si="2"/>
        <v>0.23188995229797305</v>
      </c>
      <c r="D34" s="1">
        <f t="shared" si="3"/>
        <v>2.9971192930119406E-3</v>
      </c>
      <c r="E34" s="1">
        <f t="shared" si="4"/>
        <v>4.6454968880096987E-5</v>
      </c>
      <c r="F34" s="1">
        <f t="shared" si="5"/>
        <v>1.6215366338808628E-3</v>
      </c>
      <c r="G34" s="1">
        <f t="shared" si="6"/>
        <v>2.322714100870877E-2</v>
      </c>
      <c r="H34" s="1">
        <f t="shared" ref="H34:H65" si="11">C34+E34</f>
        <v>0.23193640726685313</v>
      </c>
      <c r="I34" s="2">
        <f t="shared" ref="I34:I65" si="12">(B34-H34)^2</f>
        <v>3.0022078940967005E-3</v>
      </c>
      <c r="J34" s="2">
        <f t="shared" si="7"/>
        <v>0.23355794390073401</v>
      </c>
      <c r="K34" s="2">
        <f t="shared" si="8"/>
        <v>3.1825330664351638E-3</v>
      </c>
      <c r="L34" s="2">
        <f t="shared" si="9"/>
        <v>0.2567850849094428</v>
      </c>
      <c r="M34" s="2">
        <f t="shared" si="10"/>
        <v>6.3427024055530776E-3</v>
      </c>
      <c r="T34">
        <f>COUNT($P$4:$R$7)</f>
        <v>7</v>
      </c>
    </row>
    <row r="35" spans="1:20" x14ac:dyDescent="0.25">
      <c r="A35" s="5">
        <v>0.86799999999999999</v>
      </c>
      <c r="B35" s="4">
        <v>0.19392300000000001</v>
      </c>
      <c r="C35" s="1">
        <f t="shared" si="2"/>
        <v>0.25386451004482102</v>
      </c>
      <c r="D35" s="1">
        <f t="shared" si="3"/>
        <v>3.5929846264533783E-3</v>
      </c>
      <c r="E35" s="1">
        <f t="shared" si="4"/>
        <v>4.2335797447965226E-5</v>
      </c>
      <c r="F35" s="1">
        <f t="shared" si="5"/>
        <v>1.9841426660752713E-3</v>
      </c>
      <c r="G35" s="1">
        <f t="shared" si="6"/>
        <v>2.7632931826914946E-2</v>
      </c>
      <c r="H35" s="1">
        <f t="shared" si="11"/>
        <v>0.25390684584226897</v>
      </c>
      <c r="I35" s="2">
        <f t="shared" si="12"/>
        <v>3.598061762029087E-3</v>
      </c>
      <c r="J35" s="2">
        <f t="shared" si="7"/>
        <v>0.25589098850834424</v>
      </c>
      <c r="K35" s="2">
        <f t="shared" si="8"/>
        <v>3.8400315997702823E-3</v>
      </c>
      <c r="L35" s="2">
        <f t="shared" si="9"/>
        <v>0.28352392033525919</v>
      </c>
      <c r="M35" s="2">
        <f t="shared" si="10"/>
        <v>8.0283249249254625E-3</v>
      </c>
      <c r="T35" t="b">
        <f>$R$9=1</f>
        <v>0</v>
      </c>
    </row>
    <row r="36" spans="1:20" x14ac:dyDescent="0.25">
      <c r="A36" s="5">
        <v>0.95299999999999996</v>
      </c>
      <c r="B36" s="4">
        <v>0.21282499999999999</v>
      </c>
      <c r="C36" s="1">
        <f t="shared" si="2"/>
        <v>0.27803056748067212</v>
      </c>
      <c r="D36" s="1">
        <f t="shared" si="3"/>
        <v>4.2517660304764874E-3</v>
      </c>
      <c r="E36" s="1">
        <f t="shared" si="4"/>
        <v>3.8561429823035514E-5</v>
      </c>
      <c r="F36" s="1">
        <f t="shared" si="5"/>
        <v>2.4306278289142167E-3</v>
      </c>
      <c r="G36" s="1">
        <f t="shared" si="6"/>
        <v>3.2906316437829153E-2</v>
      </c>
      <c r="H36" s="1">
        <f t="shared" si="11"/>
        <v>0.27806912891049518</v>
      </c>
      <c r="I36" s="2">
        <f t="shared" si="12"/>
        <v>4.2567963572893146E-3</v>
      </c>
      <c r="J36" s="2">
        <f t="shared" si="7"/>
        <v>0.28049975673940941</v>
      </c>
      <c r="K36" s="2">
        <f t="shared" si="8"/>
        <v>4.5798726997382418E-3</v>
      </c>
      <c r="L36" s="2">
        <f t="shared" si="9"/>
        <v>0.31340607317723856</v>
      </c>
      <c r="M36" s="2">
        <f t="shared" si="10"/>
        <v>1.0116552281485022E-2</v>
      </c>
      <c r="T36">
        <f>{32767;32767;0.001;0.01;FALSE;FALSE;TRUE;1;1;1;0.0001;TRUE}</f>
        <v>32767</v>
      </c>
    </row>
    <row r="37" spans="1:20" x14ac:dyDescent="0.25">
      <c r="A37" s="6">
        <v>1.0469999999999999</v>
      </c>
      <c r="B37" s="4">
        <v>0.23433200000000001</v>
      </c>
      <c r="C37" s="1">
        <f t="shared" si="2"/>
        <v>0.30464275122792095</v>
      </c>
      <c r="D37" s="1">
        <f t="shared" si="3"/>
        <v>4.9436017382345852E-3</v>
      </c>
      <c r="E37" s="1">
        <f t="shared" si="4"/>
        <v>3.5100852956838365E-5</v>
      </c>
      <c r="F37" s="1">
        <f t="shared" si="5"/>
        <v>2.9817657655968363E-3</v>
      </c>
      <c r="G37" s="1">
        <f t="shared" si="6"/>
        <v>3.9232364428262147E-2</v>
      </c>
      <c r="H37" s="1">
        <f t="shared" si="11"/>
        <v>0.30467785208087778</v>
      </c>
      <c r="I37" s="2">
        <f t="shared" si="12"/>
        <v>4.9485389049847344E-3</v>
      </c>
      <c r="J37" s="2">
        <f t="shared" si="7"/>
        <v>0.30765961784647461</v>
      </c>
      <c r="K37" s="2">
        <f t="shared" si="8"/>
        <v>5.37693953903862E-3</v>
      </c>
      <c r="L37" s="2">
        <f t="shared" si="9"/>
        <v>0.34689198227473678</v>
      </c>
      <c r="M37" s="2">
        <f t="shared" si="10"/>
        <v>1.2669749609689054E-2</v>
      </c>
      <c r="T37">
        <f>{0;0;1;100;0;FALSE;TRUE;0.075;0;0;FALSE;30}</f>
        <v>0</v>
      </c>
    </row>
    <row r="38" spans="1:20" x14ac:dyDescent="0.25">
      <c r="A38" s="6">
        <v>1.149</v>
      </c>
      <c r="B38" s="4">
        <v>0.25890400000000002</v>
      </c>
      <c r="C38" s="1">
        <f t="shared" si="2"/>
        <v>0.33338399897738291</v>
      </c>
      <c r="D38" s="1">
        <f t="shared" si="3"/>
        <v>5.5472702476709558E-3</v>
      </c>
      <c r="E38" s="1">
        <f t="shared" si="4"/>
        <v>3.1986157327968722E-5</v>
      </c>
      <c r="F38" s="1">
        <f t="shared" si="5"/>
        <v>3.6490907579057024E-3</v>
      </c>
      <c r="G38" s="1">
        <f t="shared" si="6"/>
        <v>4.6676317344899541E-2</v>
      </c>
      <c r="H38" s="1">
        <f t="shared" si="11"/>
        <v>0.33341598513471088</v>
      </c>
      <c r="I38" s="2">
        <f t="shared" si="12"/>
        <v>5.5520359287153714E-3</v>
      </c>
      <c r="J38" s="2">
        <f t="shared" si="7"/>
        <v>0.33706507589261658</v>
      </c>
      <c r="K38" s="2">
        <f t="shared" si="8"/>
        <v>6.1091537846913657E-3</v>
      </c>
      <c r="L38" s="2">
        <f t="shared" si="9"/>
        <v>0.3837413932375161</v>
      </c>
      <c r="M38" s="2">
        <f t="shared" si="10"/>
        <v>1.5584374750338225E-2</v>
      </c>
      <c r="O38" s="178" t="s">
        <v>86</v>
      </c>
      <c r="P38" s="178"/>
      <c r="T38">
        <f>{32767;32767;0.001;0.01;FALSE;FALSE;TRUE;1;1;1;0.0001;TRUE}</f>
        <v>32767</v>
      </c>
    </row>
    <row r="39" spans="1:20" x14ac:dyDescent="0.25">
      <c r="A39" s="6">
        <v>1.2609999999999999</v>
      </c>
      <c r="B39" s="4">
        <v>0.28695300000000001</v>
      </c>
      <c r="C39" s="1">
        <f t="shared" si="2"/>
        <v>0.36477652435616426</v>
      </c>
      <c r="D39" s="1">
        <f t="shared" si="3"/>
        <v>6.0565009432144894E-3</v>
      </c>
      <c r="E39" s="1">
        <f t="shared" si="4"/>
        <v>2.9146365549088753E-5</v>
      </c>
      <c r="F39" s="1">
        <f t="shared" si="5"/>
        <v>4.4662470537779313E-3</v>
      </c>
      <c r="G39" s="1">
        <f t="shared" si="6"/>
        <v>5.5535369067942833E-2</v>
      </c>
      <c r="H39" s="1">
        <f t="shared" si="11"/>
        <v>0.36480567072171333</v>
      </c>
      <c r="I39" s="2">
        <f t="shared" si="12"/>
        <v>6.0610383385035172E-3</v>
      </c>
      <c r="J39" s="2">
        <f t="shared" si="7"/>
        <v>0.36927191777549123</v>
      </c>
      <c r="K39" s="2">
        <f t="shared" si="8"/>
        <v>6.7764042237280844E-3</v>
      </c>
      <c r="L39" s="2">
        <f t="shared" si="9"/>
        <v>0.42480728684343405</v>
      </c>
      <c r="M39" s="2">
        <f t="shared" si="10"/>
        <v>1.9003804401111792E-2</v>
      </c>
      <c r="O39" s="63" t="s">
        <v>87</v>
      </c>
      <c r="P39" s="4">
        <f>RSQ(C2:C118, B2:B118)</f>
        <v>0.13000536231728516</v>
      </c>
      <c r="T39">
        <f>{0;0;1;100;0;FALSE;TRUE;0.075;0;0;FALSE;30}</f>
        <v>0</v>
      </c>
    </row>
    <row r="40" spans="1:20" x14ac:dyDescent="0.25">
      <c r="A40" s="6">
        <v>1.3839999999999999</v>
      </c>
      <c r="B40" s="4">
        <v>0.31918800000000003</v>
      </c>
      <c r="C40" s="1">
        <f t="shared" si="2"/>
        <v>0.39904544880677323</v>
      </c>
      <c r="D40" s="1">
        <f t="shared" si="3"/>
        <v>6.3772121299264023E-3</v>
      </c>
      <c r="E40" s="1">
        <f t="shared" si="4"/>
        <v>2.6557087917007652E-5</v>
      </c>
      <c r="F40" s="1">
        <f t="shared" si="5"/>
        <v>5.4670982403715119E-3</v>
      </c>
      <c r="G40" s="1">
        <f t="shared" si="6"/>
        <v>6.6079323863573805E-2</v>
      </c>
      <c r="H40" s="1">
        <f t="shared" si="11"/>
        <v>0.39907200589469022</v>
      </c>
      <c r="I40" s="2">
        <f t="shared" si="12"/>
        <v>6.3814543977828968E-3</v>
      </c>
      <c r="J40" s="2">
        <f t="shared" si="7"/>
        <v>0.40453910413506172</v>
      </c>
      <c r="K40" s="2">
        <f t="shared" si="8"/>
        <v>7.2848109770741456E-3</v>
      </c>
      <c r="L40" s="2">
        <f t="shared" si="9"/>
        <v>0.47061842799863551</v>
      </c>
      <c r="M40" s="2">
        <f t="shared" si="10"/>
        <v>2.2931174523849927E-2</v>
      </c>
      <c r="O40" s="63" t="s">
        <v>73</v>
      </c>
      <c r="P40" s="4">
        <f>RSQ(H2:H118, B2:B118)</f>
        <v>0.12995704551707837</v>
      </c>
    </row>
    <row r="41" spans="1:20" x14ac:dyDescent="0.25">
      <c r="A41" s="6">
        <v>1.52</v>
      </c>
      <c r="B41" s="4">
        <v>0.35650700000000002</v>
      </c>
      <c r="C41" s="1">
        <f t="shared" si="2"/>
        <v>0.43667499322713005</v>
      </c>
      <c r="D41" s="1">
        <f t="shared" si="3"/>
        <v>6.426907138065166E-3</v>
      </c>
      <c r="E41" s="1">
        <f t="shared" si="4"/>
        <v>2.41818630544442E-5</v>
      </c>
      <c r="F41" s="1">
        <f t="shared" si="5"/>
        <v>6.7018236864060197E-3</v>
      </c>
      <c r="G41" s="1">
        <f t="shared" si="6"/>
        <v>7.8715952014932339E-2</v>
      </c>
      <c r="H41" s="1">
        <f t="shared" si="11"/>
        <v>0.43669917509018447</v>
      </c>
      <c r="I41" s="2">
        <f t="shared" si="12"/>
        <v>6.4307849456947987E-3</v>
      </c>
      <c r="J41" s="2">
        <f t="shared" si="7"/>
        <v>0.4434009987765905</v>
      </c>
      <c r="K41" s="2">
        <f t="shared" si="8"/>
        <v>7.5505670233861092E-3</v>
      </c>
      <c r="L41" s="2">
        <f t="shared" si="9"/>
        <v>0.52211695079152287</v>
      </c>
      <c r="M41" s="2">
        <f t="shared" si="10"/>
        <v>2.7426655801170621E-2</v>
      </c>
      <c r="O41" s="63" t="s">
        <v>69</v>
      </c>
      <c r="P41" s="4">
        <f>RSQ(J2:J118, B2:B118)</f>
        <v>0.99870127955335075</v>
      </c>
    </row>
    <row r="42" spans="1:20" x14ac:dyDescent="0.25">
      <c r="A42" s="6">
        <v>1.6679999999999999</v>
      </c>
      <c r="B42" s="4">
        <v>0.40020800000000001</v>
      </c>
      <c r="C42" s="1">
        <f t="shared" si="2"/>
        <v>0.47729955281130604</v>
      </c>
      <c r="D42" s="1">
        <f t="shared" si="3"/>
        <v>5.9431075148583864E-3</v>
      </c>
      <c r="E42" s="1">
        <f t="shared" si="4"/>
        <v>2.2037057006645819E-5</v>
      </c>
      <c r="F42" s="1">
        <f t="shared" si="5"/>
        <v>8.2008193132403068E-3</v>
      </c>
      <c r="G42" s="1">
        <f t="shared" si="6"/>
        <v>9.3616684541776671E-2</v>
      </c>
      <c r="H42" s="1">
        <f t="shared" si="11"/>
        <v>0.47732158986831269</v>
      </c>
      <c r="I42" s="2">
        <f t="shared" si="12"/>
        <v>5.9465057423783363E-3</v>
      </c>
      <c r="J42" s="2">
        <f t="shared" si="7"/>
        <v>0.48552240918155298</v>
      </c>
      <c r="K42" s="2">
        <f t="shared" si="8"/>
        <v>7.2785484139974502E-3</v>
      </c>
      <c r="L42" s="2">
        <f t="shared" si="9"/>
        <v>0.57913909372332961</v>
      </c>
      <c r="M42" s="2">
        <f t="shared" si="10"/>
        <v>3.201633630102696E-2</v>
      </c>
      <c r="O42" s="63" t="s">
        <v>70</v>
      </c>
      <c r="P42" s="4">
        <f>RSQ(L2:L118, B2:B118)</f>
        <v>0.89902032050392067</v>
      </c>
    </row>
    <row r="43" spans="1:20" x14ac:dyDescent="0.25">
      <c r="A43" s="6">
        <v>1.8320000000000001</v>
      </c>
      <c r="B43" s="4">
        <v>0.45141700000000001</v>
      </c>
      <c r="C43" s="1">
        <f t="shared" si="2"/>
        <v>0.52190071623331724</v>
      </c>
      <c r="D43" s="1">
        <f t="shared" si="3"/>
        <v>4.9679542540587863E-3</v>
      </c>
      <c r="E43" s="1">
        <f t="shared" si="4"/>
        <v>2.0065050421783761E-5</v>
      </c>
      <c r="F43" s="1">
        <f t="shared" si="5"/>
        <v>1.005401827529054E-2</v>
      </c>
      <c r="G43" s="1">
        <f t="shared" si="6"/>
        <v>0.11150368920527109</v>
      </c>
      <c r="H43" s="1">
        <f t="shared" si="11"/>
        <v>0.52192078128373898</v>
      </c>
      <c r="I43" s="2">
        <f t="shared" si="12"/>
        <v>4.970783175305301E-3</v>
      </c>
      <c r="J43" s="2">
        <f t="shared" si="7"/>
        <v>0.53197479955902949</v>
      </c>
      <c r="K43" s="2">
        <f t="shared" si="8"/>
        <v>6.4895590697927694E-3</v>
      </c>
      <c r="L43" s="2">
        <f t="shared" si="9"/>
        <v>0.64347848876430058</v>
      </c>
      <c r="M43" s="2">
        <f t="shared" si="10"/>
        <v>3.6887615466359554E-2</v>
      </c>
    </row>
    <row r="44" spans="1:20" x14ac:dyDescent="0.25">
      <c r="A44" s="6">
        <v>2.0110000000000001</v>
      </c>
      <c r="B44" s="4">
        <v>0.51127999999999996</v>
      </c>
      <c r="C44" s="1">
        <f t="shared" si="2"/>
        <v>0.57005635541506805</v>
      </c>
      <c r="D44" s="1">
        <f t="shared" si="3"/>
        <v>3.4546599558784043E-3</v>
      </c>
      <c r="E44" s="1">
        <f t="shared" si="4"/>
        <v>1.8279709000641202E-5</v>
      </c>
      <c r="F44" s="1">
        <f t="shared" si="5"/>
        <v>1.2311006560940425E-2</v>
      </c>
      <c r="G44" s="1">
        <f t="shared" si="6"/>
        <v>0.13264692225565056</v>
      </c>
      <c r="H44" s="1">
        <f t="shared" si="11"/>
        <v>0.57007463512406864</v>
      </c>
      <c r="I44" s="2">
        <f t="shared" si="12"/>
        <v>3.4568091193723709E-3</v>
      </c>
      <c r="J44" s="2">
        <f t="shared" si="7"/>
        <v>0.58238564168500906</v>
      </c>
      <c r="K44" s="2">
        <f t="shared" si="8"/>
        <v>5.0560122794369037E-3</v>
      </c>
      <c r="L44" s="2">
        <f t="shared" si="9"/>
        <v>0.71503256394065962</v>
      </c>
      <c r="M44" s="2">
        <f t="shared" si="10"/>
        <v>4.15151073123926E-2</v>
      </c>
    </row>
    <row r="45" spans="1:20" x14ac:dyDescent="0.25">
      <c r="A45" s="6">
        <v>2.2069999999999999</v>
      </c>
      <c r="B45" s="4">
        <v>0.58056399999999997</v>
      </c>
      <c r="C45" s="1">
        <f t="shared" si="2"/>
        <v>0.62212093099704291</v>
      </c>
      <c r="D45" s="1">
        <f t="shared" si="3"/>
        <v>1.7269785138929884E-3</v>
      </c>
      <c r="E45" s="1">
        <f t="shared" si="4"/>
        <v>1.6656902359851514E-5</v>
      </c>
      <c r="F45" s="1">
        <f t="shared" si="5"/>
        <v>1.5067347610878707E-2</v>
      </c>
      <c r="G45" s="1">
        <f t="shared" si="6"/>
        <v>0.15769861150378517</v>
      </c>
      <c r="H45" s="1">
        <f t="shared" si="11"/>
        <v>0.62213758789940277</v>
      </c>
      <c r="I45" s="2">
        <f t="shared" si="12"/>
        <v>1.7283632108293708E-3</v>
      </c>
      <c r="J45" s="2">
        <f t="shared" si="7"/>
        <v>0.63720493551028146</v>
      </c>
      <c r="K45" s="2">
        <f t="shared" si="8"/>
        <v>3.2081955754798665E-3</v>
      </c>
      <c r="L45" s="2">
        <f t="shared" si="9"/>
        <v>0.79490354701406662</v>
      </c>
      <c r="M45" s="2">
        <f t="shared" si="10"/>
        <v>4.5941441414195289E-2</v>
      </c>
    </row>
    <row r="46" spans="1:20" x14ac:dyDescent="0.25">
      <c r="A46" s="6">
        <v>2.423</v>
      </c>
      <c r="B46" s="4">
        <v>0.65978199999999998</v>
      </c>
      <c r="C46" s="1">
        <f t="shared" si="2"/>
        <v>0.67864484201239783</v>
      </c>
      <c r="D46" s="1">
        <f t="shared" si="3"/>
        <v>3.5580680878468144E-4</v>
      </c>
      <c r="E46" s="1">
        <f t="shared" si="4"/>
        <v>1.5172532643898378E-5</v>
      </c>
      <c r="F46" s="1">
        <f t="shared" si="5"/>
        <v>1.8455574834685975E-2</v>
      </c>
      <c r="G46" s="1">
        <f t="shared" si="6"/>
        <v>0.18755527080799531</v>
      </c>
      <c r="H46" s="1">
        <f t="shared" si="11"/>
        <v>0.67866001454504177</v>
      </c>
      <c r="I46" s="2">
        <f t="shared" si="12"/>
        <v>3.5637943316280932E-4</v>
      </c>
      <c r="J46" s="2">
        <f t="shared" si="7"/>
        <v>0.69711558937972773</v>
      </c>
      <c r="K46" s="2">
        <f t="shared" si="8"/>
        <v>1.3937968959741205E-3</v>
      </c>
      <c r="L46" s="2">
        <f t="shared" si="9"/>
        <v>0.88467086018772301</v>
      </c>
      <c r="M46" s="2">
        <f t="shared" si="10"/>
        <v>5.0574999436533236E-2</v>
      </c>
    </row>
    <row r="47" spans="1:20" x14ac:dyDescent="0.25">
      <c r="A47" s="6">
        <v>2.66</v>
      </c>
      <c r="B47" s="4">
        <v>0.74883999999999995</v>
      </c>
      <c r="C47" s="1">
        <f t="shared" si="2"/>
        <v>0.73956961863238435</v>
      </c>
      <c r="D47" s="1">
        <f t="shared" si="3"/>
        <v>8.5939970701034464E-5</v>
      </c>
      <c r="E47" s="1">
        <f t="shared" si="4"/>
        <v>1.3821157200787723E-5</v>
      </c>
      <c r="F47" s="1">
        <f t="shared" si="5"/>
        <v>2.2603006958611074E-2</v>
      </c>
      <c r="G47" s="1">
        <f t="shared" si="6"/>
        <v>0.22295653116710873</v>
      </c>
      <c r="H47" s="1">
        <f t="shared" si="11"/>
        <v>0.73958343978958518</v>
      </c>
      <c r="I47" s="2">
        <f t="shared" si="12"/>
        <v>8.5683906929033852E-5</v>
      </c>
      <c r="J47" s="2">
        <f t="shared" si="7"/>
        <v>0.76218644674819624</v>
      </c>
      <c r="K47" s="2">
        <f t="shared" si="8"/>
        <v>1.7812764080243944E-4</v>
      </c>
      <c r="L47" s="2">
        <f t="shared" si="9"/>
        <v>0.98514297791530492</v>
      </c>
      <c r="M47" s="2">
        <f t="shared" si="10"/>
        <v>5.5839097371641104E-2</v>
      </c>
    </row>
    <row r="48" spans="1:20" x14ac:dyDescent="0.25">
      <c r="A48" s="6">
        <v>2.92</v>
      </c>
      <c r="B48" s="4">
        <v>0.84682500000000005</v>
      </c>
      <c r="C48" s="1">
        <f t="shared" si="2"/>
        <v>0.80500418561470966</v>
      </c>
      <c r="D48" s="1">
        <f t="shared" si="3"/>
        <v>1.748980515848912E-3</v>
      </c>
      <c r="E48" s="1">
        <f t="shared" si="4"/>
        <v>1.2590917150987843E-5</v>
      </c>
      <c r="F48" s="1">
        <f t="shared" si="5"/>
        <v>2.7678520701160166E-2</v>
      </c>
      <c r="G48" s="1">
        <f t="shared" si="6"/>
        <v>0.26487545907537396</v>
      </c>
      <c r="H48" s="1">
        <f t="shared" si="11"/>
        <v>0.80501677653186066</v>
      </c>
      <c r="I48" s="2">
        <f t="shared" si="12"/>
        <v>1.7479275495618815E-3</v>
      </c>
      <c r="J48" s="2">
        <f t="shared" si="7"/>
        <v>0.83269529723302083</v>
      </c>
      <c r="K48" s="2">
        <f t="shared" si="8"/>
        <v>1.9964850028318033E-4</v>
      </c>
      <c r="L48" s="2">
        <f t="shared" si="9"/>
        <v>1.0975707563083947</v>
      </c>
      <c r="M48" s="2">
        <f t="shared" si="10"/>
        <v>6.2873434306668849E-2</v>
      </c>
    </row>
    <row r="49" spans="1:35" ht="15.75" thickBot="1" x14ac:dyDescent="0.3">
      <c r="A49" s="6">
        <v>3.2050000000000001</v>
      </c>
      <c r="B49" s="4">
        <v>0.95206000000000002</v>
      </c>
      <c r="C49" s="1">
        <f t="shared" si="2"/>
        <v>0.87493386726773226</v>
      </c>
      <c r="D49" s="1">
        <f t="shared" si="3"/>
        <v>5.9484403502353842E-3</v>
      </c>
      <c r="E49" s="1">
        <f t="shared" si="4"/>
        <v>1.1471652286926823E-5</v>
      </c>
      <c r="F49" s="1">
        <f t="shared" si="5"/>
        <v>3.3883898325222171E-2</v>
      </c>
      <c r="G49" s="1">
        <f t="shared" si="6"/>
        <v>0.31439363922181951</v>
      </c>
      <c r="H49" s="1">
        <f t="shared" si="11"/>
        <v>0.87494533892001913</v>
      </c>
      <c r="I49" s="2">
        <f t="shared" si="12"/>
        <v>5.9466709534803184E-3</v>
      </c>
      <c r="J49" s="2">
        <f t="shared" si="7"/>
        <v>0.90882923724524134</v>
      </c>
      <c r="K49" s="2">
        <f t="shared" si="8"/>
        <v>1.8688988483582302E-3</v>
      </c>
      <c r="L49" s="2">
        <f t="shared" si="9"/>
        <v>1.223222876467061</v>
      </c>
      <c r="M49" s="2">
        <f t="shared" si="10"/>
        <v>7.3529305573890549E-2</v>
      </c>
    </row>
    <row r="50" spans="1:35" x14ac:dyDescent="0.25">
      <c r="A50" s="6">
        <v>3.5190000000000001</v>
      </c>
      <c r="B50" s="4">
        <v>1.06227</v>
      </c>
      <c r="C50" s="1">
        <f t="shared" si="2"/>
        <v>0.94966091446355594</v>
      </c>
      <c r="D50" s="1">
        <f t="shared" si="3"/>
        <v>1.2680806145354186E-2</v>
      </c>
      <c r="E50" s="1">
        <f t="shared" si="4"/>
        <v>1.0448362133830905E-5</v>
      </c>
      <c r="F50" s="1">
        <f t="shared" si="5"/>
        <v>4.1510225303874743E-2</v>
      </c>
      <c r="G50" s="1">
        <f t="shared" si="6"/>
        <v>0.37307744807705923</v>
      </c>
      <c r="H50" s="1">
        <f t="shared" si="11"/>
        <v>0.94967136282568976</v>
      </c>
      <c r="I50" s="2">
        <f t="shared" si="12"/>
        <v>1.2678453093511972E-2</v>
      </c>
      <c r="J50" s="2">
        <f t="shared" si="7"/>
        <v>0.99118158812956447</v>
      </c>
      <c r="K50" s="2">
        <f t="shared" si="8"/>
        <v>5.0535623022606854E-3</v>
      </c>
      <c r="L50" s="2">
        <f t="shared" si="9"/>
        <v>1.3642590362066236</v>
      </c>
      <c r="M50" s="2">
        <f t="shared" si="10"/>
        <v>9.1197377989005388E-2</v>
      </c>
      <c r="AD50" s="150"/>
      <c r="AE50" s="120"/>
      <c r="AF50" s="120"/>
      <c r="AG50" s="120"/>
      <c r="AH50" s="120"/>
      <c r="AI50" s="121"/>
    </row>
    <row r="51" spans="1:35" ht="26.25" x14ac:dyDescent="0.4">
      <c r="A51" s="6">
        <v>3.863</v>
      </c>
      <c r="B51" s="4">
        <v>1.17533</v>
      </c>
      <c r="C51" s="1">
        <f t="shared" si="2"/>
        <v>1.0285571722400733</v>
      </c>
      <c r="D51" s="1">
        <f t="shared" si="3"/>
        <v>2.1542262968645118E-2</v>
      </c>
      <c r="E51" s="1">
        <f t="shared" si="4"/>
        <v>9.5182225660438531E-6</v>
      </c>
      <c r="F51" s="1">
        <f t="shared" si="5"/>
        <v>5.0830269208395805E-2</v>
      </c>
      <c r="G51" s="1">
        <f t="shared" si="6"/>
        <v>0.44205564861557906</v>
      </c>
      <c r="H51" s="1">
        <f t="shared" si="11"/>
        <v>1.0285666904626394</v>
      </c>
      <c r="I51" s="2">
        <f t="shared" si="12"/>
        <v>2.1539469026359122E-2</v>
      </c>
      <c r="J51" s="2">
        <f t="shared" si="7"/>
        <v>1.0793969596710351</v>
      </c>
      <c r="K51" s="2">
        <f t="shared" si="8"/>
        <v>9.2031482267588022E-3</v>
      </c>
      <c r="L51" s="2">
        <f t="shared" si="9"/>
        <v>1.5214526082866142</v>
      </c>
      <c r="M51" s="2">
        <f t="shared" si="10"/>
        <v>0.119800859967129</v>
      </c>
      <c r="AD51" s="122"/>
      <c r="AE51" s="151" t="s">
        <v>55</v>
      </c>
      <c r="AF51" s="84"/>
      <c r="AG51" s="84"/>
      <c r="AH51" s="84"/>
      <c r="AI51" s="123"/>
    </row>
    <row r="52" spans="1:35" ht="15.75" thickBot="1" x14ac:dyDescent="0.3">
      <c r="A52" s="6">
        <v>4.24</v>
      </c>
      <c r="B52" s="4">
        <v>1.28887</v>
      </c>
      <c r="C52" s="1">
        <f t="shared" si="2"/>
        <v>1.111231145384157</v>
      </c>
      <c r="D52" s="1">
        <f t="shared" si="3"/>
        <v>3.1555562669228585E-2</v>
      </c>
      <c r="E52" s="1">
        <f t="shared" si="4"/>
        <v>8.6721624006127018E-6</v>
      </c>
      <c r="F52" s="1">
        <f t="shared" si="5"/>
        <v>6.2221330537103693E-2</v>
      </c>
      <c r="G52" s="1">
        <f t="shared" si="6"/>
        <v>0.52287687642004554</v>
      </c>
      <c r="H52" s="1">
        <f t="shared" si="11"/>
        <v>1.1112398175465577</v>
      </c>
      <c r="I52" s="2">
        <f t="shared" si="12"/>
        <v>3.1552481718443201E-2</v>
      </c>
      <c r="J52" s="2">
        <f t="shared" si="7"/>
        <v>1.1734611480836614</v>
      </c>
      <c r="K52" s="2">
        <f t="shared" si="8"/>
        <v>1.3319203100647358E-2</v>
      </c>
      <c r="L52" s="2">
        <f t="shared" si="9"/>
        <v>1.696338024503707</v>
      </c>
      <c r="M52" s="2">
        <f t="shared" si="10"/>
        <v>0.16603019099295357</v>
      </c>
      <c r="AD52" s="124"/>
      <c r="AE52" s="125"/>
      <c r="AF52" s="125"/>
      <c r="AG52" s="125"/>
      <c r="AH52" s="125"/>
      <c r="AI52" s="126"/>
    </row>
    <row r="53" spans="1:35" x14ac:dyDescent="0.25">
      <c r="A53" s="6">
        <v>4.6550000000000002</v>
      </c>
      <c r="B53" s="4">
        <v>1.40042</v>
      </c>
      <c r="C53" s="1">
        <f t="shared" si="2"/>
        <v>1.1973801578642562</v>
      </c>
      <c r="D53" s="1">
        <f t="shared" si="3"/>
        <v>4.1225177494507756E-2</v>
      </c>
      <c r="E53" s="1">
        <f t="shared" si="4"/>
        <v>7.8992514249666144E-6</v>
      </c>
      <c r="F53" s="1">
        <f t="shared" si="5"/>
        <v>7.6205493872478797E-2</v>
      </c>
      <c r="G53" s="1">
        <f t="shared" si="6"/>
        <v>0.61757227405650439</v>
      </c>
      <c r="H53" s="1">
        <f t="shared" si="11"/>
        <v>1.1973880571156812</v>
      </c>
      <c r="I53" s="2">
        <f t="shared" si="12"/>
        <v>4.1221969831381294E-2</v>
      </c>
      <c r="J53" s="2">
        <f t="shared" si="7"/>
        <v>1.27359355098816</v>
      </c>
      <c r="K53" s="2">
        <f t="shared" si="8"/>
        <v>1.608494816895286E-2</v>
      </c>
      <c r="L53" s="2">
        <f t="shared" si="9"/>
        <v>1.8911658250446644</v>
      </c>
      <c r="M53" s="2">
        <f t="shared" si="10"/>
        <v>0.24083146479876832</v>
      </c>
    </row>
    <row r="54" spans="1:35" x14ac:dyDescent="0.25">
      <c r="A54" s="6">
        <v>5.1100000000000003</v>
      </c>
      <c r="B54" s="4">
        <v>1.50725</v>
      </c>
      <c r="C54" s="1">
        <f t="shared" si="2"/>
        <v>1.2856554741498796</v>
      </c>
      <c r="D54" s="1">
        <f t="shared" si="3"/>
        <v>4.9104133886739683E-2</v>
      </c>
      <c r="E54" s="1">
        <f t="shared" si="4"/>
        <v>7.1960919411658193E-6</v>
      </c>
      <c r="F54" s="1">
        <f t="shared" si="5"/>
        <v>9.3303826170465939E-2</v>
      </c>
      <c r="G54" s="1">
        <f t="shared" si="6"/>
        <v>0.72742571064997519</v>
      </c>
      <c r="H54" s="1">
        <f t="shared" si="11"/>
        <v>1.2856626702418208</v>
      </c>
      <c r="I54" s="2">
        <f t="shared" si="12"/>
        <v>4.9100944709360043E-2</v>
      </c>
      <c r="J54" s="2">
        <f t="shared" si="7"/>
        <v>1.3789664964122867</v>
      </c>
      <c r="K54" s="2">
        <f t="shared" si="8"/>
        <v>1.6456657292738833E-2</v>
      </c>
      <c r="L54" s="2">
        <f t="shared" si="9"/>
        <v>2.106392207062262</v>
      </c>
      <c r="M54" s="2">
        <f t="shared" si="10"/>
        <v>0.3589713842834385</v>
      </c>
    </row>
    <row r="55" spans="1:35" x14ac:dyDescent="0.25">
      <c r="A55" s="6">
        <v>5.61</v>
      </c>
      <c r="B55" s="4">
        <v>1.6076999999999999</v>
      </c>
      <c r="C55" s="1">
        <f t="shared" si="2"/>
        <v>1.3748344956694851</v>
      </c>
      <c r="D55" s="1">
        <f t="shared" si="3"/>
        <v>5.4226343107105002E-2</v>
      </c>
      <c r="E55" s="1">
        <f t="shared" si="4"/>
        <v>6.5549044933083588E-6</v>
      </c>
      <c r="F55" s="1">
        <f t="shared" si="5"/>
        <v>0.11425486792075935</v>
      </c>
      <c r="G55" s="1">
        <f t="shared" si="6"/>
        <v>0.85414203717961656</v>
      </c>
      <c r="H55" s="1">
        <f t="shared" si="11"/>
        <v>1.3748410505739785</v>
      </c>
      <c r="I55" s="2">
        <f t="shared" si="12"/>
        <v>5.4223290327790379E-2</v>
      </c>
      <c r="J55" s="2">
        <f t="shared" si="7"/>
        <v>1.4890959184947379</v>
      </c>
      <c r="K55" s="2">
        <f t="shared" si="8"/>
        <v>1.4066928149706838E-2</v>
      </c>
      <c r="L55" s="2">
        <f t="shared" si="9"/>
        <v>2.3432379556743546</v>
      </c>
      <c r="M55" s="2">
        <f t="shared" si="10"/>
        <v>0.54101608423760894</v>
      </c>
    </row>
    <row r="56" spans="1:35" x14ac:dyDescent="0.25">
      <c r="A56" s="6">
        <v>6.1580000000000004</v>
      </c>
      <c r="B56" s="4">
        <v>1.7014</v>
      </c>
      <c r="C56" s="1">
        <f t="shared" si="2"/>
        <v>1.4627526177001746</v>
      </c>
      <c r="D56" s="1">
        <f t="shared" si="3"/>
        <v>5.695257307855902E-2</v>
      </c>
      <c r="E56" s="1">
        <f t="shared" si="4"/>
        <v>5.9717385471191497E-6</v>
      </c>
      <c r="F56" s="1">
        <f t="shared" si="5"/>
        <v>0.13985347379711857</v>
      </c>
      <c r="G56" s="1">
        <f t="shared" si="6"/>
        <v>0.99837304309273311</v>
      </c>
      <c r="H56" s="1">
        <f t="shared" si="11"/>
        <v>1.4627585894387218</v>
      </c>
      <c r="I56" s="2">
        <f t="shared" si="12"/>
        <v>5.6949722834676537E-2</v>
      </c>
      <c r="J56" s="2">
        <f t="shared" si="7"/>
        <v>1.6026120632358405</v>
      </c>
      <c r="K56" s="2">
        <f t="shared" si="8"/>
        <v>9.7590564501195826E-3</v>
      </c>
      <c r="L56" s="2">
        <f t="shared" si="9"/>
        <v>2.6009851063285736</v>
      </c>
      <c r="M56" s="2">
        <f t="shared" si="10"/>
        <v>0.80925336352819099</v>
      </c>
    </row>
    <row r="57" spans="1:35" x14ac:dyDescent="0.25">
      <c r="A57" s="6">
        <v>6.76</v>
      </c>
      <c r="B57" s="4">
        <v>1.7890699999999999</v>
      </c>
      <c r="C57" s="1">
        <f t="shared" si="2"/>
        <v>1.5470841656237126</v>
      </c>
      <c r="D57" s="1">
        <f t="shared" si="3"/>
        <v>5.8557144038787944E-2</v>
      </c>
      <c r="E57" s="1">
        <f t="shared" si="4"/>
        <v>5.4400720956689061E-6</v>
      </c>
      <c r="F57" s="1">
        <f t="shared" si="5"/>
        <v>0.17119446778761785</v>
      </c>
      <c r="G57" s="1">
        <f t="shared" si="6"/>
        <v>1.1605548184995793</v>
      </c>
      <c r="H57" s="1">
        <f t="shared" si="11"/>
        <v>1.5470896056958083</v>
      </c>
      <c r="I57" s="2">
        <f t="shared" si="12"/>
        <v>5.8554511227612044E-2</v>
      </c>
      <c r="J57" s="2">
        <f t="shared" si="7"/>
        <v>1.7182840734834262</v>
      </c>
      <c r="K57" s="2">
        <f t="shared" si="8"/>
        <v>5.010647392809783E-3</v>
      </c>
      <c r="L57" s="2">
        <f t="shared" si="9"/>
        <v>2.8788388919830057</v>
      </c>
      <c r="M57" s="2">
        <f t="shared" si="10"/>
        <v>1.187596237933868</v>
      </c>
    </row>
    <row r="58" spans="1:35" x14ac:dyDescent="0.25">
      <c r="A58" s="6">
        <v>7.4210000000000003</v>
      </c>
      <c r="B58" s="4">
        <v>1.8712200000000001</v>
      </c>
      <c r="C58" s="1">
        <f t="shared" si="2"/>
        <v>1.6245590214201058</v>
      </c>
      <c r="D58" s="1">
        <f t="shared" si="3"/>
        <v>6.084163835399109E-2</v>
      </c>
      <c r="E58" s="1">
        <f t="shared" si="4"/>
        <v>4.9556364133865853E-6</v>
      </c>
      <c r="F58" s="1">
        <f t="shared" si="5"/>
        <v>0.20953719749072883</v>
      </c>
      <c r="G58" s="1">
        <f t="shared" si="6"/>
        <v>1.3392473067964428</v>
      </c>
      <c r="H58" s="1">
        <f t="shared" si="11"/>
        <v>1.6245639770565192</v>
      </c>
      <c r="I58" s="2">
        <f t="shared" si="12"/>
        <v>6.0839193654294965E-2</v>
      </c>
      <c r="J58" s="2">
        <f t="shared" si="7"/>
        <v>1.834101174547248</v>
      </c>
      <c r="K58" s="2">
        <f t="shared" si="8"/>
        <v>1.3778072029918798E-3</v>
      </c>
      <c r="L58" s="2">
        <f t="shared" si="9"/>
        <v>3.173348481343691</v>
      </c>
      <c r="M58" s="2">
        <f t="shared" si="10"/>
        <v>1.6955385819264266</v>
      </c>
    </row>
    <row r="59" spans="1:35" x14ac:dyDescent="0.25">
      <c r="A59" s="6">
        <v>8.1470000000000002</v>
      </c>
      <c r="B59" s="4">
        <v>1.9473499999999999</v>
      </c>
      <c r="C59" s="1">
        <f t="shared" si="2"/>
        <v>1.6912296812045093</v>
      </c>
      <c r="D59" s="1">
        <f t="shared" si="3"/>
        <v>6.5597617699903729E-2</v>
      </c>
      <c r="E59" s="1">
        <f t="shared" si="4"/>
        <v>4.5141325049904592E-6</v>
      </c>
      <c r="F59" s="1">
        <f t="shared" si="5"/>
        <v>0.25644179010063445</v>
      </c>
      <c r="G59" s="1">
        <f t="shared" si="6"/>
        <v>1.5307718483205643</v>
      </c>
      <c r="H59" s="1">
        <f t="shared" si="11"/>
        <v>1.6912341953370142</v>
      </c>
      <c r="I59" s="2">
        <f>(B59-H59)^2</f>
        <v>6.559530539816863E-2</v>
      </c>
      <c r="J59" s="2">
        <f t="shared" si="7"/>
        <v>1.9476759854376486</v>
      </c>
      <c r="K59" s="2">
        <f t="shared" si="8"/>
        <v>1.0626650555902991E-7</v>
      </c>
      <c r="L59" s="2">
        <f t="shared" si="9"/>
        <v>3.4784478337582128</v>
      </c>
      <c r="M59" s="2">
        <f t="shared" si="10"/>
        <v>2.3442605765390918</v>
      </c>
    </row>
    <row r="60" spans="1:35" x14ac:dyDescent="0.25">
      <c r="A60" s="6">
        <v>8.9429999999999996</v>
      </c>
      <c r="B60" s="4">
        <v>2.0177200000000002</v>
      </c>
      <c r="C60" s="1">
        <f t="shared" si="2"/>
        <v>1.7423147816282565</v>
      </c>
      <c r="D60" s="1">
        <f t="shared" si="3"/>
        <v>7.5848034306387827E-2</v>
      </c>
      <c r="E60" s="1">
        <f t="shared" si="4"/>
        <v>4.1124303906305162E-6</v>
      </c>
      <c r="F60" s="1">
        <f t="shared" si="5"/>
        <v>0.31368460618797955</v>
      </c>
      <c r="G60" s="1">
        <f t="shared" si="6"/>
        <v>1.7275879663778606</v>
      </c>
      <c r="H60" s="1">
        <f t="shared" si="11"/>
        <v>1.7423188940586471</v>
      </c>
      <c r="I60" s="2">
        <f t="shared" si="12"/>
        <v>7.5845769153720349E-2</v>
      </c>
      <c r="J60" s="2">
        <f t="shared" si="7"/>
        <v>2.0560035002466268</v>
      </c>
      <c r="K60" s="2">
        <f t="shared" si="8"/>
        <v>1.4656263911334616E-3</v>
      </c>
      <c r="L60" s="2">
        <f t="shared" si="9"/>
        <v>3.7835914666244874</v>
      </c>
      <c r="M60" s="2">
        <f t="shared" si="10"/>
        <v>3.1183020366385175</v>
      </c>
    </row>
    <row r="61" spans="1:35" x14ac:dyDescent="0.25">
      <c r="A61" s="6">
        <v>9.8179999999999996</v>
      </c>
      <c r="B61" s="4">
        <v>2.0840900000000002</v>
      </c>
      <c r="C61" s="1">
        <f t="shared" si="2"/>
        <v>1.7726407475962254</v>
      </c>
      <c r="D61" s="1">
        <f t="shared" si="3"/>
        <v>9.7000636822870259E-2</v>
      </c>
      <c r="E61" s="1">
        <f t="shared" si="4"/>
        <v>3.746003494571596E-6</v>
      </c>
      <c r="F61" s="1">
        <f t="shared" si="5"/>
        <v>0.38367135050402679</v>
      </c>
      <c r="G61" s="1">
        <f t="shared" si="6"/>
        <v>1.9182637147561861</v>
      </c>
      <c r="H61" s="1">
        <f t="shared" si="11"/>
        <v>1.7726444935997199</v>
      </c>
      <c r="I61" s="2">
        <f t="shared" si="12"/>
        <v>9.6998303456927074E-2</v>
      </c>
      <c r="J61" s="2">
        <f t="shared" si="7"/>
        <v>2.1563158441037467</v>
      </c>
      <c r="K61" s="2">
        <f t="shared" si="8"/>
        <v>5.216572556498684E-3</v>
      </c>
      <c r="L61" s="2">
        <f t="shared" si="9"/>
        <v>4.0745795588599325</v>
      </c>
      <c r="M61" s="2">
        <f t="shared" si="10"/>
        <v>3.9620486839304077</v>
      </c>
    </row>
    <row r="62" spans="1:35" x14ac:dyDescent="0.25">
      <c r="A62" s="5">
        <v>10.78</v>
      </c>
      <c r="B62" s="4">
        <v>2.1501100000000002</v>
      </c>
      <c r="C62" s="1">
        <f t="shared" si="2"/>
        <v>1.7764514396876334</v>
      </c>
      <c r="D62" s="1">
        <f t="shared" si="3"/>
        <v>0.13962071969471063</v>
      </c>
      <c r="E62" s="1">
        <f t="shared" si="4"/>
        <v>3.4117838006234063E-6</v>
      </c>
      <c r="F62" s="1">
        <f t="shared" si="5"/>
        <v>0.4691767199862435</v>
      </c>
      <c r="G62" s="1">
        <f t="shared" si="6"/>
        <v>2.0849226919474413</v>
      </c>
      <c r="H62" s="1">
        <f t="shared" si="11"/>
        <v>1.776454851471434</v>
      </c>
      <c r="I62" s="2">
        <f t="shared" si="12"/>
        <v>0.13961817002190485</v>
      </c>
      <c r="J62" s="2">
        <f t="shared" si="7"/>
        <v>2.2456315714576776</v>
      </c>
      <c r="K62" s="2">
        <f t="shared" si="8"/>
        <v>9.1243706137441628E-3</v>
      </c>
      <c r="L62" s="2">
        <f t="shared" si="9"/>
        <v>4.3305542634051193</v>
      </c>
      <c r="M62" s="2">
        <f t="shared" si="10"/>
        <v>4.7543371858162926</v>
      </c>
    </row>
    <row r="63" spans="1:35" x14ac:dyDescent="0.25">
      <c r="A63" s="5">
        <v>11.83</v>
      </c>
      <c r="B63" s="4">
        <v>2.21773</v>
      </c>
      <c r="C63" s="1">
        <f t="shared" si="2"/>
        <v>1.748384470440894</v>
      </c>
      <c r="D63" s="1">
        <f t="shared" si="3"/>
        <v>0.22028522611711768</v>
      </c>
      <c r="E63" s="1">
        <f t="shared" si="4"/>
        <v>3.1090245932806114E-6</v>
      </c>
      <c r="F63" s="1">
        <f t="shared" si="5"/>
        <v>0.57271592216491263</v>
      </c>
      <c r="G63" s="1">
        <f t="shared" si="6"/>
        <v>2.2026397756296574</v>
      </c>
      <c r="H63" s="1">
        <f t="shared" si="11"/>
        <v>1.7483875794654873</v>
      </c>
      <c r="I63" s="2">
        <f t="shared" si="12"/>
        <v>0.22028230771319537</v>
      </c>
      <c r="J63" s="2">
        <f t="shared" si="7"/>
        <v>2.3211035016303998</v>
      </c>
      <c r="K63" s="2">
        <f t="shared" si="8"/>
        <v>1.0686080839330274E-2</v>
      </c>
      <c r="L63" s="2">
        <f t="shared" si="9"/>
        <v>4.5237432772600572</v>
      </c>
      <c r="M63" s="2">
        <f t="shared" si="10"/>
        <v>5.3176972348996694</v>
      </c>
    </row>
    <row r="64" spans="1:35" x14ac:dyDescent="0.25">
      <c r="A64" s="5">
        <v>12.99</v>
      </c>
      <c r="B64" s="4">
        <v>2.2873999999999999</v>
      </c>
      <c r="C64" s="1">
        <f t="shared" si="2"/>
        <v>1.6833554911722193</v>
      </c>
      <c r="D64" s="1">
        <f t="shared" si="3"/>
        <v>0.36486976864499471</v>
      </c>
      <c r="E64" s="1">
        <f t="shared" si="4"/>
        <v>2.8314446340251234E-6</v>
      </c>
      <c r="F64" s="1">
        <f t="shared" si="5"/>
        <v>0.69938734775336864</v>
      </c>
      <c r="G64" s="1">
        <f t="shared" si="6"/>
        <v>2.2438566562372397</v>
      </c>
      <c r="H64" s="1">
        <f t="shared" si="11"/>
        <v>1.6833583226168534</v>
      </c>
      <c r="I64" s="2">
        <f t="shared" si="12"/>
        <v>0.36486634801584528</v>
      </c>
      <c r="J64" s="2">
        <f t="shared" si="7"/>
        <v>2.3827456703702219</v>
      </c>
      <c r="K64" s="2">
        <f t="shared" si="8"/>
        <v>9.0907968583470323E-3</v>
      </c>
      <c r="L64" s="2">
        <f t="shared" si="9"/>
        <v>4.6266023266074612</v>
      </c>
      <c r="M64" s="2">
        <f t="shared" si="10"/>
        <v>5.4718675248057602</v>
      </c>
    </row>
    <row r="65" spans="1:13" x14ac:dyDescent="0.25">
      <c r="A65" s="5">
        <v>14.26</v>
      </c>
      <c r="B65" s="4">
        <v>2.35799</v>
      </c>
      <c r="C65" s="1">
        <f t="shared" si="2"/>
        <v>1.5788625841897936</v>
      </c>
      <c r="D65" s="1">
        <f t="shared" si="3"/>
        <v>0.60703953006709022</v>
      </c>
      <c r="E65" s="1">
        <f t="shared" si="4"/>
        <v>2.5793223900683667E-6</v>
      </c>
      <c r="F65" s="1">
        <f t="shared" si="5"/>
        <v>0.85259760824144459</v>
      </c>
      <c r="G65" s="1">
        <f t="shared" si="6"/>
        <v>2.1786805945362087</v>
      </c>
      <c r="H65" s="1">
        <f t="shared" si="11"/>
        <v>1.5788651635121838</v>
      </c>
      <c r="I65" s="2">
        <f t="shared" si="12"/>
        <v>0.60703551083216645</v>
      </c>
      <c r="J65" s="2">
        <f t="shared" si="7"/>
        <v>2.4314627717536283</v>
      </c>
      <c r="K65" s="2">
        <f t="shared" si="8"/>
        <v>5.398248189160763E-3</v>
      </c>
      <c r="L65" s="2">
        <f t="shared" si="9"/>
        <v>4.6101433662898366</v>
      </c>
      <c r="M65" s="2">
        <f t="shared" si="10"/>
        <v>5.0721947852906428</v>
      </c>
    </row>
    <row r="66" spans="1:13" x14ac:dyDescent="0.25">
      <c r="A66" s="3">
        <v>15.65</v>
      </c>
      <c r="B66" s="4">
        <v>2.4299499999999998</v>
      </c>
      <c r="C66" s="1">
        <f t="shared" si="2"/>
        <v>1.435279473530167</v>
      </c>
      <c r="D66" s="1">
        <f t="shared" si="3"/>
        <v>0.98936945622777428</v>
      </c>
      <c r="E66" s="1">
        <f t="shared" si="4"/>
        <v>2.3502732017905188E-6</v>
      </c>
      <c r="F66" s="1">
        <f t="shared" si="5"/>
        <v>1.0371587346345488</v>
      </c>
      <c r="G66" s="1">
        <f t="shared" si="6"/>
        <v>1.9877328560395893</v>
      </c>
      <c r="H66" s="1">
        <f t="shared" ref="H66:H97" si="13">C66+E66</f>
        <v>1.4352818238033689</v>
      </c>
      <c r="I66" s="2">
        <f t="shared" ref="I66:I97" si="14">(B66-H66)^2</f>
        <v>0.98936478073833212</v>
      </c>
      <c r="J66" s="2">
        <f t="shared" si="7"/>
        <v>2.4724405584379179</v>
      </c>
      <c r="K66" s="2">
        <f t="shared" si="8"/>
        <v>1.8054475563661285E-3</v>
      </c>
      <c r="L66" s="2">
        <f t="shared" si="9"/>
        <v>4.4601734144775076</v>
      </c>
      <c r="M66" s="2">
        <f t="shared" si="10"/>
        <v>4.1218071126927098</v>
      </c>
    </row>
    <row r="67" spans="1:13" x14ac:dyDescent="0.25">
      <c r="A67" s="3">
        <v>17.18</v>
      </c>
      <c r="B67" s="4">
        <v>2.5098699999999998</v>
      </c>
      <c r="C67" s="1">
        <f t="shared" ref="C67:C118" si="15">(WEIBULL(A67,$P$4,$P$5,FALSE))*$P$6</f>
        <v>1.2558596169550003</v>
      </c>
      <c r="D67" s="1">
        <f t="shared" ref="D67:D118" si="16">(B67-C67)^2</f>
        <v>1.5725420407846666</v>
      </c>
      <c r="E67" s="1">
        <f t="shared" ref="E67:E118" si="17">(WEIBULL(A67,$P$7,$P$8,FALSE))*$P$9</f>
        <v>2.14100025444758E-6</v>
      </c>
      <c r="F67" s="1">
        <f t="shared" ref="F67:F118" si="18">(WEIBULL(A67,$P$10,$P$11,FALSE))*$P$12</f>
        <v>1.2597091385086938</v>
      </c>
      <c r="G67" s="1">
        <f t="shared" ref="G67:G118" si="19">(WEIBULL(A67,$P$13,$P$14,FALSE))*$P$15</f>
        <v>1.6708530479590551</v>
      </c>
      <c r="H67" s="1">
        <f t="shared" si="13"/>
        <v>1.2558617579552547</v>
      </c>
      <c r="I67" s="2">
        <f t="shared" si="14"/>
        <v>1.5725366711161521</v>
      </c>
      <c r="J67" s="2">
        <f t="shared" ref="J67:J118" si="20">C67+E67+F67</f>
        <v>2.5155708964639487</v>
      </c>
      <c r="K67" s="2">
        <f t="shared" ref="K67:K118" si="21">(B67-J67)^2</f>
        <v>3.2500220492664963E-5</v>
      </c>
      <c r="L67" s="2">
        <f t="shared" ref="L67:L118" si="22">C67+E67+F67+G67</f>
        <v>4.1864239444230034</v>
      </c>
      <c r="M67" s="2">
        <f t="shared" ref="M67:M118" si="23">(B67-L67)^2</f>
        <v>2.8108331285603319</v>
      </c>
    </row>
    <row r="68" spans="1:13" x14ac:dyDescent="0.25">
      <c r="A68" s="3">
        <v>18.86</v>
      </c>
      <c r="B68" s="4">
        <v>2.6080899999999998</v>
      </c>
      <c r="C68" s="1">
        <f t="shared" si="15"/>
        <v>1.0497504041087917</v>
      </c>
      <c r="D68" s="1">
        <f t="shared" si="16"/>
        <v>2.4284222961223736</v>
      </c>
      <c r="E68" s="1">
        <f t="shared" si="17"/>
        <v>1.9503161097909747E-6</v>
      </c>
      <c r="F68" s="1">
        <f t="shared" si="18"/>
        <v>1.5257448909507187</v>
      </c>
      <c r="G68" s="1">
        <f t="shared" si="19"/>
        <v>1.2620201929950272</v>
      </c>
      <c r="H68" s="1">
        <f t="shared" si="13"/>
        <v>1.0497523544249014</v>
      </c>
      <c r="I68" s="2">
        <f t="shared" si="14"/>
        <v>2.4284162176165407</v>
      </c>
      <c r="J68" s="2">
        <f t="shared" si="20"/>
        <v>2.5754972453756202</v>
      </c>
      <c r="K68" s="2">
        <f t="shared" si="21"/>
        <v>1.0622876540050182E-3</v>
      </c>
      <c r="L68" s="2">
        <f t="shared" si="22"/>
        <v>3.8375174383706474</v>
      </c>
      <c r="M68" s="2">
        <f t="shared" si="23"/>
        <v>1.5114918262186126</v>
      </c>
    </row>
    <row r="69" spans="1:13" x14ac:dyDescent="0.25">
      <c r="A69" s="5">
        <v>20.71</v>
      </c>
      <c r="B69" s="4">
        <v>2.7402099999999998</v>
      </c>
      <c r="C69" s="1">
        <f t="shared" si="15"/>
        <v>0.829874832359909</v>
      </c>
      <c r="D69" s="1">
        <f t="shared" si="16"/>
        <v>3.649380452722494</v>
      </c>
      <c r="E69" s="1">
        <f t="shared" si="17"/>
        <v>1.776123098688092E-6</v>
      </c>
      <c r="F69" s="1">
        <f t="shared" si="18"/>
        <v>1.8419300462869268</v>
      </c>
      <c r="G69" s="1">
        <f t="shared" si="19"/>
        <v>0.82765090707485445</v>
      </c>
      <c r="H69" s="1">
        <f t="shared" si="13"/>
        <v>0.8298766084830077</v>
      </c>
      <c r="I69" s="2">
        <f t="shared" si="14"/>
        <v>3.6493736667448138</v>
      </c>
      <c r="J69" s="2">
        <f t="shared" si="20"/>
        <v>2.6718066547699344</v>
      </c>
      <c r="K69" s="2">
        <f t="shared" si="21"/>
        <v>4.6790176386635133E-3</v>
      </c>
      <c r="L69" s="2">
        <f t="shared" si="22"/>
        <v>3.499457561844789</v>
      </c>
      <c r="M69" s="2">
        <f t="shared" si="23"/>
        <v>0.57645686016725695</v>
      </c>
    </row>
    <row r="70" spans="1:13" x14ac:dyDescent="0.25">
      <c r="A70" s="3">
        <v>22.73</v>
      </c>
      <c r="B70" s="4">
        <v>2.9190800000000001</v>
      </c>
      <c r="C70" s="1">
        <f t="shared" si="15"/>
        <v>0.61492363623922752</v>
      </c>
      <c r="D70" s="1">
        <f t="shared" si="16"/>
        <v>5.3091365486592652</v>
      </c>
      <c r="E70" s="1">
        <f t="shared" si="17"/>
        <v>1.6183027944962031E-6</v>
      </c>
      <c r="F70" s="1">
        <f t="shared" si="18"/>
        <v>2.210026301549195</v>
      </c>
      <c r="G70" s="1">
        <f t="shared" si="19"/>
        <v>0.45334096079667702</v>
      </c>
      <c r="H70" s="1">
        <f t="shared" si="13"/>
        <v>0.61492525454202207</v>
      </c>
      <c r="I70" s="2">
        <f t="shared" si="14"/>
        <v>5.3091290910165192</v>
      </c>
      <c r="J70" s="2">
        <f t="shared" si="20"/>
        <v>2.8249515560912171</v>
      </c>
      <c r="K70" s="2">
        <f t="shared" si="21"/>
        <v>8.8601639526889181E-3</v>
      </c>
      <c r="L70" s="2">
        <f t="shared" si="22"/>
        <v>3.2782925168878942</v>
      </c>
      <c r="M70" s="2">
        <f t="shared" si="23"/>
        <v>0.12903363228893563</v>
      </c>
    </row>
    <row r="71" spans="1:13" x14ac:dyDescent="0.25">
      <c r="A71" s="3">
        <v>24.95</v>
      </c>
      <c r="B71" s="4">
        <v>3.1524000000000001</v>
      </c>
      <c r="C71" s="1">
        <f t="shared" si="15"/>
        <v>0.420729932555997</v>
      </c>
      <c r="D71" s="1">
        <f t="shared" si="16"/>
        <v>7.4620213573695242</v>
      </c>
      <c r="E71" s="1">
        <f t="shared" si="17"/>
        <v>1.4743288524631526E-6</v>
      </c>
      <c r="F71" s="1">
        <f t="shared" si="18"/>
        <v>2.6341046209992953</v>
      </c>
      <c r="G71" s="1">
        <f t="shared" si="19"/>
        <v>0.19554558490335525</v>
      </c>
      <c r="H71" s="1">
        <f t="shared" si="13"/>
        <v>0.42073140688484945</v>
      </c>
      <c r="I71" s="2">
        <f t="shared" si="14"/>
        <v>7.462013302611707</v>
      </c>
      <c r="J71" s="2">
        <f t="shared" si="20"/>
        <v>3.0548360278841447</v>
      </c>
      <c r="K71" s="2">
        <f t="shared" si="21"/>
        <v>9.5187286550234163E-3</v>
      </c>
      <c r="L71" s="2">
        <f t="shared" si="22"/>
        <v>3.2503816127874998</v>
      </c>
      <c r="M71" s="2">
        <f t="shared" si="23"/>
        <v>9.6003964444395309E-3</v>
      </c>
    </row>
    <row r="72" spans="1:13" x14ac:dyDescent="0.25">
      <c r="A72" s="3">
        <v>27.39</v>
      </c>
      <c r="B72" s="4">
        <v>3.4452799999999999</v>
      </c>
      <c r="C72" s="1">
        <f t="shared" si="15"/>
        <v>0.26147468001752056</v>
      </c>
      <c r="D72" s="1">
        <f t="shared" si="16"/>
        <v>10.136616315548737</v>
      </c>
      <c r="E72" s="1">
        <f t="shared" si="17"/>
        <v>1.3430068001975385E-6</v>
      </c>
      <c r="F72" s="1">
        <f t="shared" si="18"/>
        <v>3.1112484186742826</v>
      </c>
      <c r="G72" s="1">
        <f t="shared" si="19"/>
        <v>6.16792442845394E-2</v>
      </c>
      <c r="H72" s="1">
        <f t="shared" si="13"/>
        <v>0.26147602302432077</v>
      </c>
      <c r="I72" s="2">
        <f t="shared" si="14"/>
        <v>10.13660776380615</v>
      </c>
      <c r="J72" s="2">
        <f t="shared" si="20"/>
        <v>3.3727244416986033</v>
      </c>
      <c r="K72" s="2">
        <f t="shared" si="21"/>
        <v>5.2643090404273602E-3</v>
      </c>
      <c r="L72" s="2">
        <f t="shared" si="22"/>
        <v>3.4344036859831428</v>
      </c>
      <c r="M72" s="2">
        <f t="shared" si="23"/>
        <v>1.1829420659328156E-4</v>
      </c>
    </row>
    <row r="73" spans="1:13" x14ac:dyDescent="0.25">
      <c r="A73" s="3">
        <v>30.07</v>
      </c>
      <c r="B73" s="4">
        <v>3.79359</v>
      </c>
      <c r="C73" s="1">
        <f t="shared" si="15"/>
        <v>0.14477753575387628</v>
      </c>
      <c r="D73" s="1">
        <f t="shared" si="16"/>
        <v>13.313832399237869</v>
      </c>
      <c r="E73" s="1">
        <f t="shared" si="17"/>
        <v>1.2233247832460284E-6</v>
      </c>
      <c r="F73" s="1">
        <f t="shared" si="18"/>
        <v>3.6295118975912848</v>
      </c>
      <c r="G73" s="1">
        <f t="shared" si="19"/>
        <v>1.2926115341112866E-2</v>
      </c>
      <c r="H73" s="1">
        <f t="shared" si="13"/>
        <v>0.14477875907865953</v>
      </c>
      <c r="I73" s="2">
        <f t="shared" si="14"/>
        <v>13.313823471873933</v>
      </c>
      <c r="J73" s="2">
        <f t="shared" si="20"/>
        <v>3.7742906566699443</v>
      </c>
      <c r="K73" s="2">
        <f t="shared" si="21"/>
        <v>3.724646529713644E-4</v>
      </c>
      <c r="L73" s="2">
        <f t="shared" si="22"/>
        <v>3.7872167720110572</v>
      </c>
      <c r="M73" s="2">
        <f t="shared" si="23"/>
        <v>4.0618034999043861E-5</v>
      </c>
    </row>
    <row r="74" spans="1:13" x14ac:dyDescent="0.25">
      <c r="A74" s="3">
        <v>33.01</v>
      </c>
      <c r="B74" s="4">
        <v>4.1893000000000002</v>
      </c>
      <c r="C74" s="1">
        <f t="shared" si="15"/>
        <v>6.9821946499936047E-2</v>
      </c>
      <c r="D74" s="1">
        <f t="shared" si="16"/>
        <v>16.970099433268675</v>
      </c>
      <c r="E74" s="1">
        <f t="shared" si="17"/>
        <v>1.1143824375622251E-6</v>
      </c>
      <c r="F74" s="1">
        <f t="shared" si="18"/>
        <v>4.1632004316296527</v>
      </c>
      <c r="G74" s="1">
        <f t="shared" si="19"/>
        <v>1.5911246192229758E-3</v>
      </c>
      <c r="H74" s="1">
        <f t="shared" si="13"/>
        <v>6.9823060882373611E-2</v>
      </c>
      <c r="I74" s="2">
        <f t="shared" si="14"/>
        <v>16.970090251921931</v>
      </c>
      <c r="J74" s="2">
        <f t="shared" si="20"/>
        <v>4.233023492512026</v>
      </c>
      <c r="K74" s="2">
        <f t="shared" si="21"/>
        <v>1.9117437974491749E-3</v>
      </c>
      <c r="L74" s="2">
        <f t="shared" si="22"/>
        <v>4.2346146171312489</v>
      </c>
      <c r="M74" s="2">
        <f t="shared" si="23"/>
        <v>2.0534145257516513E-3</v>
      </c>
    </row>
    <row r="75" spans="1:13" x14ac:dyDescent="0.25">
      <c r="A75" s="3">
        <v>36.24</v>
      </c>
      <c r="B75" s="4">
        <v>4.6103300000000003</v>
      </c>
      <c r="C75" s="1">
        <f t="shared" si="15"/>
        <v>2.848407603281641E-2</v>
      </c>
      <c r="D75" s="1">
        <f t="shared" si="16"/>
        <v>20.993312070974699</v>
      </c>
      <c r="E75" s="1">
        <f t="shared" si="17"/>
        <v>1.0150695610910781E-6</v>
      </c>
      <c r="F75" s="1">
        <f t="shared" si="18"/>
        <v>4.6692492424158631</v>
      </c>
      <c r="G75" s="1">
        <f t="shared" si="19"/>
        <v>9.7340341418299217E-5</v>
      </c>
      <c r="H75" s="1">
        <f t="shared" si="13"/>
        <v>2.8485091102377499E-2</v>
      </c>
      <c r="I75" s="2">
        <f t="shared" si="14"/>
        <v>20.993302769191068</v>
      </c>
      <c r="J75" s="2">
        <f t="shared" si="20"/>
        <v>4.6977343335182402</v>
      </c>
      <c r="K75" s="2">
        <f t="shared" si="21"/>
        <v>7.6395175177677238E-3</v>
      </c>
      <c r="L75" s="2">
        <f t="shared" si="22"/>
        <v>4.6978316738596586</v>
      </c>
      <c r="M75" s="2">
        <f t="shared" si="23"/>
        <v>7.6565429282420168E-3</v>
      </c>
    </row>
    <row r="76" spans="1:13" x14ac:dyDescent="0.25">
      <c r="A76" s="3">
        <v>39.78</v>
      </c>
      <c r="B76" s="4">
        <v>4.9996900000000002</v>
      </c>
      <c r="C76" s="1">
        <f t="shared" si="15"/>
        <v>9.5253657683180074E-3</v>
      </c>
      <c r="D76" s="1">
        <f t="shared" si="16"/>
        <v>24.901743076736619</v>
      </c>
      <c r="E76" s="1">
        <f t="shared" si="17"/>
        <v>9.2474724191319222E-7</v>
      </c>
      <c r="F76" s="1">
        <f t="shared" si="18"/>
        <v>5.0796322156321621</v>
      </c>
      <c r="G76" s="1">
        <f t="shared" si="19"/>
        <v>2.4082576576934971E-6</v>
      </c>
      <c r="H76" s="1">
        <f t="shared" si="13"/>
        <v>9.5262905155599209E-3</v>
      </c>
      <c r="I76" s="2">
        <f t="shared" si="14"/>
        <v>24.901733847455507</v>
      </c>
      <c r="J76" s="2">
        <f t="shared" si="20"/>
        <v>5.0891585061477222</v>
      </c>
      <c r="K76" s="2">
        <f t="shared" si="21"/>
        <v>8.0046135923049801E-3</v>
      </c>
      <c r="L76" s="2">
        <f t="shared" si="22"/>
        <v>5.0891609144053795</v>
      </c>
      <c r="M76" s="2">
        <f t="shared" si="23"/>
        <v>8.0050445245347188E-3</v>
      </c>
    </row>
    <row r="77" spans="1:13" x14ac:dyDescent="0.25">
      <c r="A77" s="3">
        <v>43.67</v>
      </c>
      <c r="B77" s="7">
        <v>5.2633099999999997</v>
      </c>
      <c r="C77" s="1">
        <f t="shared" si="15"/>
        <v>2.5002001652670329E-3</v>
      </c>
      <c r="D77" s="1">
        <f t="shared" si="16"/>
        <v>27.676119750037159</v>
      </c>
      <c r="E77" s="1">
        <f t="shared" si="17"/>
        <v>8.4238008460716046E-7</v>
      </c>
      <c r="F77" s="1">
        <f t="shared" si="18"/>
        <v>5.3059006278465732</v>
      </c>
      <c r="G77" s="1">
        <f t="shared" si="19"/>
        <v>1.8054715880290502E-8</v>
      </c>
      <c r="H77" s="1">
        <f t="shared" si="13"/>
        <v>2.5010425453516399E-3</v>
      </c>
      <c r="I77" s="2">
        <f t="shared" si="14"/>
        <v>27.676110886835058</v>
      </c>
      <c r="J77" s="2">
        <f t="shared" si="20"/>
        <v>5.308401670391925</v>
      </c>
      <c r="K77" s="2">
        <f t="shared" si="21"/>
        <v>2.0332587387340327E-3</v>
      </c>
      <c r="L77" s="2">
        <f t="shared" si="22"/>
        <v>5.308401688446641</v>
      </c>
      <c r="M77" s="2">
        <f t="shared" si="23"/>
        <v>2.0332603669689594E-3</v>
      </c>
    </row>
    <row r="78" spans="1:13" x14ac:dyDescent="0.25">
      <c r="A78" s="3">
        <v>47.94</v>
      </c>
      <c r="B78" s="4">
        <v>5.2664999999999997</v>
      </c>
      <c r="C78" s="1">
        <f t="shared" si="15"/>
        <v>4.9105374230991783E-4</v>
      </c>
      <c r="D78" s="1">
        <f t="shared" si="16"/>
        <v>27.730850222066028</v>
      </c>
      <c r="E78" s="1">
        <f t="shared" si="17"/>
        <v>7.6735501720542639E-7</v>
      </c>
      <c r="F78" s="1">
        <f t="shared" si="18"/>
        <v>5.2466967574466068</v>
      </c>
      <c r="G78" s="1">
        <f t="shared" si="19"/>
        <v>2.8568286271363134E-11</v>
      </c>
      <c r="H78" s="1">
        <f t="shared" si="13"/>
        <v>4.9182109732712328E-4</v>
      </c>
      <c r="I78" s="2">
        <f t="shared" si="14"/>
        <v>27.730842140269839</v>
      </c>
      <c r="J78" s="2">
        <f t="shared" si="20"/>
        <v>5.2471885785439341</v>
      </c>
      <c r="K78" s="2">
        <f t="shared" si="21"/>
        <v>3.7293099865379393E-4</v>
      </c>
      <c r="L78" s="2">
        <f t="shared" si="22"/>
        <v>5.2471885785725023</v>
      </c>
      <c r="M78" s="2">
        <f t="shared" si="23"/>
        <v>3.7293099755040653E-4</v>
      </c>
    </row>
    <row r="79" spans="1:13" x14ac:dyDescent="0.25">
      <c r="A79" s="3">
        <v>52.62</v>
      </c>
      <c r="B79" s="4">
        <v>4.8805800000000001</v>
      </c>
      <c r="C79" s="1">
        <f t="shared" si="15"/>
        <v>6.8260226173787612E-5</v>
      </c>
      <c r="D79" s="1">
        <f t="shared" si="16"/>
        <v>23.819394842070142</v>
      </c>
      <c r="E79" s="1">
        <f t="shared" si="17"/>
        <v>6.9911114867728532E-7</v>
      </c>
      <c r="F79" s="1">
        <f t="shared" si="18"/>
        <v>4.8206452542273226</v>
      </c>
      <c r="G79" s="1">
        <f t="shared" si="19"/>
        <v>6.0029699502368466E-15</v>
      </c>
      <c r="H79" s="1">
        <f t="shared" si="13"/>
        <v>6.8959337322464898E-5</v>
      </c>
      <c r="I79" s="2">
        <f t="shared" si="14"/>
        <v>23.819388018030295</v>
      </c>
      <c r="J79" s="2">
        <f t="shared" si="20"/>
        <v>4.8207142135646448</v>
      </c>
      <c r="K79" s="2">
        <f t="shared" si="21"/>
        <v>3.5839123855235752E-3</v>
      </c>
      <c r="L79" s="2">
        <f t="shared" si="22"/>
        <v>4.820714213564651</v>
      </c>
      <c r="M79" s="2">
        <f t="shared" si="23"/>
        <v>3.583912385522831E-3</v>
      </c>
    </row>
    <row r="80" spans="1:13" x14ac:dyDescent="0.25">
      <c r="A80" s="3">
        <v>57.77</v>
      </c>
      <c r="B80" s="4">
        <v>4.0739799999999997</v>
      </c>
      <c r="C80" s="1">
        <f t="shared" si="15"/>
        <v>6.204465793946148E-6</v>
      </c>
      <c r="D80" s="1">
        <f t="shared" si="16"/>
        <v>16.597262486699385</v>
      </c>
      <c r="E80" s="1">
        <f t="shared" si="17"/>
        <v>6.367911803261338E-7</v>
      </c>
      <c r="F80" s="1">
        <f t="shared" si="18"/>
        <v>4.0105651996059972</v>
      </c>
      <c r="G80" s="1">
        <f t="shared" si="19"/>
        <v>8.6486717372215781E-20</v>
      </c>
      <c r="H80" s="1">
        <f t="shared" si="13"/>
        <v>6.8412569742722822E-6</v>
      </c>
      <c r="I80" s="2">
        <f t="shared" si="14"/>
        <v>16.597257298158624</v>
      </c>
      <c r="J80" s="2">
        <f t="shared" si="20"/>
        <v>4.0105720408629715</v>
      </c>
      <c r="K80" s="2">
        <f t="shared" si="21"/>
        <v>4.0205692819230429E-3</v>
      </c>
      <c r="L80" s="2">
        <f t="shared" si="22"/>
        <v>4.0105720408629715</v>
      </c>
      <c r="M80" s="2">
        <f t="shared" si="23"/>
        <v>4.0205692819230429E-3</v>
      </c>
    </row>
    <row r="81" spans="1:13" x14ac:dyDescent="0.25">
      <c r="A81" s="3">
        <v>63.41</v>
      </c>
      <c r="B81" s="4">
        <v>2.9585900000000001</v>
      </c>
      <c r="C81" s="1">
        <f t="shared" si="15"/>
        <v>3.4261864346684177E-7</v>
      </c>
      <c r="D81" s="1">
        <f t="shared" si="16"/>
        <v>8.7532527607639317</v>
      </c>
      <c r="E81" s="1">
        <f t="shared" si="17"/>
        <v>5.8015442474630593E-7</v>
      </c>
      <c r="F81" s="1">
        <f t="shared" si="18"/>
        <v>2.922763388668379</v>
      </c>
      <c r="G81" s="1">
        <f t="shared" si="19"/>
        <v>3.9926960677160354E-26</v>
      </c>
      <c r="H81" s="1">
        <f t="shared" si="13"/>
        <v>9.227730682131477E-7</v>
      </c>
      <c r="I81" s="2">
        <f t="shared" si="14"/>
        <v>8.7532493278865076</v>
      </c>
      <c r="J81" s="2">
        <f t="shared" si="20"/>
        <v>2.9227643114414472</v>
      </c>
      <c r="K81" s="2">
        <f t="shared" si="21"/>
        <v>1.2834799606944237E-3</v>
      </c>
      <c r="L81" s="2">
        <f t="shared" si="22"/>
        <v>2.9227643114414472</v>
      </c>
      <c r="M81" s="2">
        <f t="shared" si="23"/>
        <v>1.2834799606944237E-3</v>
      </c>
    </row>
    <row r="82" spans="1:13" x14ac:dyDescent="0.25">
      <c r="A82" s="3">
        <v>69.61</v>
      </c>
      <c r="B82" s="4">
        <v>1.7473099999999999</v>
      </c>
      <c r="C82" s="1">
        <f t="shared" si="15"/>
        <v>1.0268682336180311E-8</v>
      </c>
      <c r="D82" s="1">
        <f t="shared" si="16"/>
        <v>3.0530922002148571</v>
      </c>
      <c r="E82" s="1">
        <f t="shared" si="17"/>
        <v>5.2848335077912987E-7</v>
      </c>
      <c r="F82" s="1">
        <f t="shared" si="18"/>
        <v>1.7804784731165224</v>
      </c>
      <c r="G82" s="1">
        <f t="shared" si="19"/>
        <v>1.9342251096938601E-34</v>
      </c>
      <c r="H82" s="1">
        <f t="shared" si="13"/>
        <v>5.3875203311531019E-7</v>
      </c>
      <c r="I82" s="2">
        <f t="shared" si="14"/>
        <v>3.0530903533666596</v>
      </c>
      <c r="J82" s="2">
        <f t="shared" si="20"/>
        <v>1.7804790118685556</v>
      </c>
      <c r="K82" s="2">
        <f t="shared" si="21"/>
        <v>1.1001833483363888E-3</v>
      </c>
      <c r="L82" s="2">
        <f t="shared" si="22"/>
        <v>1.7804790118685556</v>
      </c>
      <c r="M82" s="2">
        <f t="shared" si="23"/>
        <v>1.1001833483363888E-3</v>
      </c>
    </row>
    <row r="83" spans="1:13" x14ac:dyDescent="0.25">
      <c r="A83" s="3">
        <v>76.42</v>
      </c>
      <c r="B83" s="4">
        <v>0.76843300000000003</v>
      </c>
      <c r="C83" s="1">
        <f t="shared" si="15"/>
        <v>1.4786071860636339E-10</v>
      </c>
      <c r="D83" s="1">
        <f t="shared" si="16"/>
        <v>0.59048927526175798</v>
      </c>
      <c r="E83" s="1">
        <f t="shared" si="17"/>
        <v>4.8139005711037262E-7</v>
      </c>
      <c r="F83" s="1">
        <f t="shared" si="18"/>
        <v>0.85236656989933912</v>
      </c>
      <c r="G83" s="1">
        <f t="shared" si="19"/>
        <v>2.4480276579413183E-45</v>
      </c>
      <c r="H83" s="1">
        <f t="shared" si="13"/>
        <v>4.8153791782897894E-7</v>
      </c>
      <c r="I83" s="2">
        <f t="shared" si="14"/>
        <v>0.59048853542997826</v>
      </c>
      <c r="J83" s="2">
        <f t="shared" si="20"/>
        <v>0.852367051437257</v>
      </c>
      <c r="K83" s="2">
        <f t="shared" si="21"/>
        <v>7.0449249906720975E-3</v>
      </c>
      <c r="L83" s="2">
        <f t="shared" si="22"/>
        <v>0.852367051437257</v>
      </c>
      <c r="M83" s="2">
        <f t="shared" si="23"/>
        <v>7.0449249906720975E-3</v>
      </c>
    </row>
    <row r="84" spans="1:13" x14ac:dyDescent="0.25">
      <c r="A84" s="3">
        <v>83.89</v>
      </c>
      <c r="B84" s="4">
        <v>0.21720500000000001</v>
      </c>
      <c r="C84" s="1">
        <f t="shared" si="15"/>
        <v>8.8712456570067993E-13</v>
      </c>
      <c r="D84" s="1">
        <f t="shared" si="16"/>
        <v>4.7178012024614628E-2</v>
      </c>
      <c r="E84" s="1">
        <f t="shared" si="17"/>
        <v>4.3852542937511377E-7</v>
      </c>
      <c r="F84" s="1">
        <f t="shared" si="18"/>
        <v>0.29549787526211585</v>
      </c>
      <c r="G84" s="1">
        <f t="shared" si="19"/>
        <v>1.3570348330097742E-59</v>
      </c>
      <c r="H84" s="1">
        <f t="shared" si="13"/>
        <v>4.3852631649967948E-7</v>
      </c>
      <c r="I84" s="2">
        <f t="shared" si="14"/>
        <v>4.7177821524975155E-2</v>
      </c>
      <c r="J84" s="2">
        <f t="shared" si="20"/>
        <v>0.29549831378843233</v>
      </c>
      <c r="K84" s="2">
        <f t="shared" si="21"/>
        <v>6.1298429839739266E-3</v>
      </c>
      <c r="L84" s="2">
        <f t="shared" si="22"/>
        <v>0.29549831378843233</v>
      </c>
      <c r="M84" s="2">
        <f t="shared" si="23"/>
        <v>6.1298429839739266E-3</v>
      </c>
    </row>
    <row r="85" spans="1:13" x14ac:dyDescent="0.25">
      <c r="A85" s="3">
        <v>92.09</v>
      </c>
      <c r="B85" s="4">
        <v>3.2522200000000001E-2</v>
      </c>
      <c r="C85" s="1">
        <f t="shared" si="15"/>
        <v>1.8501853645361149E-15</v>
      </c>
      <c r="D85" s="1">
        <f t="shared" si="16"/>
        <v>1.0576934928398795E-3</v>
      </c>
      <c r="E85" s="1">
        <f t="shared" si="17"/>
        <v>3.9947808045292069E-7</v>
      </c>
      <c r="F85" s="1">
        <f t="shared" si="18"/>
        <v>6.6343520005071974E-2</v>
      </c>
      <c r="G85" s="1">
        <f t="shared" si="19"/>
        <v>3.0025620707319195E-78</v>
      </c>
      <c r="H85" s="1">
        <f t="shared" si="13"/>
        <v>3.9947808230310603E-7</v>
      </c>
      <c r="I85" s="2">
        <f t="shared" si="14"/>
        <v>1.0576675091874064E-3</v>
      </c>
      <c r="J85" s="2">
        <f t="shared" si="20"/>
        <v>6.6343919483154282E-2</v>
      </c>
      <c r="K85" s="2">
        <f t="shared" si="21"/>
        <v>1.1439087087971778E-3</v>
      </c>
      <c r="L85" s="2">
        <f t="shared" si="22"/>
        <v>6.6343919483154282E-2</v>
      </c>
      <c r="M85" s="2">
        <f t="shared" si="23"/>
        <v>1.1439087087971778E-3</v>
      </c>
    </row>
    <row r="86" spans="1:13" x14ac:dyDescent="0.25">
      <c r="A86" s="3">
        <v>101.1</v>
      </c>
      <c r="B86" s="4">
        <v>1.93845E-3</v>
      </c>
      <c r="C86" s="1">
        <f t="shared" si="15"/>
        <v>1.0744337478824529E-18</v>
      </c>
      <c r="D86" s="1">
        <f t="shared" si="16"/>
        <v>3.7575884024999958E-6</v>
      </c>
      <c r="E86" s="1">
        <f t="shared" si="17"/>
        <v>3.6387678143821585E-7</v>
      </c>
      <c r="F86" s="1">
        <f t="shared" si="18"/>
        <v>8.2877292728032754E-3</v>
      </c>
      <c r="G86" s="1">
        <f t="shared" si="19"/>
        <v>1.1166290703070447E-102</v>
      </c>
      <c r="H86" s="1">
        <f t="shared" si="13"/>
        <v>3.6387678143929026E-7</v>
      </c>
      <c r="I86" s="2">
        <f t="shared" si="14"/>
        <v>3.7561778210123498E-6</v>
      </c>
      <c r="J86" s="2">
        <f t="shared" si="20"/>
        <v>8.2880931495847143E-3</v>
      </c>
      <c r="K86" s="2">
        <f t="shared" si="21"/>
        <v>4.0317968127068097E-5</v>
      </c>
      <c r="L86" s="2">
        <f t="shared" si="22"/>
        <v>8.2880931495847143E-3</v>
      </c>
      <c r="M86" s="2">
        <f t="shared" si="23"/>
        <v>4.0317968127068097E-5</v>
      </c>
    </row>
    <row r="87" spans="1:13" x14ac:dyDescent="0.25">
      <c r="A87" s="3">
        <v>111</v>
      </c>
      <c r="B87" s="4">
        <v>0</v>
      </c>
      <c r="C87" s="1">
        <f t="shared" si="15"/>
        <v>1.3372841439941844E-22</v>
      </c>
      <c r="D87" s="1">
        <f t="shared" si="16"/>
        <v>1.7883288817782584E-44</v>
      </c>
      <c r="E87" s="1">
        <f t="shared" si="17"/>
        <v>3.31422672800633E-7</v>
      </c>
      <c r="F87" s="1">
        <f t="shared" si="18"/>
        <v>4.7009566091190026E-4</v>
      </c>
      <c r="G87" s="1">
        <f t="shared" si="19"/>
        <v>1.1451046696990911E-134</v>
      </c>
      <c r="H87" s="1">
        <f t="shared" si="13"/>
        <v>3.3142267280063316E-7</v>
      </c>
      <c r="I87" s="2">
        <f t="shared" si="14"/>
        <v>1.0984098804631555E-13</v>
      </c>
      <c r="J87" s="2">
        <f t="shared" si="20"/>
        <v>4.7042708358470089E-4</v>
      </c>
      <c r="K87" s="2">
        <f t="shared" si="21"/>
        <v>2.2130164097000715E-7</v>
      </c>
      <c r="L87" s="2">
        <f t="shared" si="22"/>
        <v>4.7042708358470089E-4</v>
      </c>
      <c r="M87" s="2">
        <f t="shared" si="23"/>
        <v>2.2130164097000715E-7</v>
      </c>
    </row>
    <row r="88" spans="1:13" x14ac:dyDescent="0.25">
      <c r="A88" s="3">
        <v>121.8</v>
      </c>
      <c r="B88" s="4">
        <v>0</v>
      </c>
      <c r="C88" s="1">
        <f t="shared" si="15"/>
        <v>2.8229337500397392E-27</v>
      </c>
      <c r="D88" s="1">
        <f t="shared" si="16"/>
        <v>7.9689549571134252E-54</v>
      </c>
      <c r="E88" s="1">
        <f t="shared" si="17"/>
        <v>3.0203496769268849E-7</v>
      </c>
      <c r="F88" s="1">
        <f t="shared" si="18"/>
        <v>9.4995873943266026E-6</v>
      </c>
      <c r="G88" s="1">
        <f t="shared" si="19"/>
        <v>3.1551751028519696E-176</v>
      </c>
      <c r="H88" s="1">
        <f t="shared" si="13"/>
        <v>3.0203496769268849E-7</v>
      </c>
      <c r="I88" s="2">
        <f t="shared" si="14"/>
        <v>9.1225121709123382E-14</v>
      </c>
      <c r="J88" s="2">
        <f t="shared" si="20"/>
        <v>9.8016223620192911E-6</v>
      </c>
      <c r="K88" s="2">
        <f t="shared" si="21"/>
        <v>9.6071800927636621E-11</v>
      </c>
      <c r="L88" s="2">
        <f t="shared" si="22"/>
        <v>9.8016223620192911E-6</v>
      </c>
      <c r="M88" s="2">
        <f t="shared" si="23"/>
        <v>9.6071800927636621E-11</v>
      </c>
    </row>
    <row r="89" spans="1:13" x14ac:dyDescent="0.25">
      <c r="A89" s="3">
        <v>133.69999999999999</v>
      </c>
      <c r="B89" s="4">
        <v>0</v>
      </c>
      <c r="C89" s="1">
        <f t="shared" si="15"/>
        <v>6.2877268673162908E-33</v>
      </c>
      <c r="D89" s="1">
        <f t="shared" si="16"/>
        <v>3.9535509157971135E-65</v>
      </c>
      <c r="E89" s="1">
        <f t="shared" si="17"/>
        <v>2.7515160245351829E-7</v>
      </c>
      <c r="F89" s="1">
        <f t="shared" si="18"/>
        <v>4.5937591089681297E-8</v>
      </c>
      <c r="G89" s="1">
        <f t="shared" si="19"/>
        <v>9.5049659015060156E-231</v>
      </c>
      <c r="H89" s="1">
        <f t="shared" si="13"/>
        <v>2.7515160245351829E-7</v>
      </c>
      <c r="I89" s="2">
        <f t="shared" si="14"/>
        <v>7.5708404332738977E-14</v>
      </c>
      <c r="J89" s="2">
        <f t="shared" si="20"/>
        <v>3.2108919354319959E-7</v>
      </c>
      <c r="K89" s="2">
        <f t="shared" si="21"/>
        <v>1.0309827021022229E-13</v>
      </c>
      <c r="L89" s="2">
        <f t="shared" si="22"/>
        <v>3.2108919354319959E-7</v>
      </c>
      <c r="M89" s="2">
        <f t="shared" si="23"/>
        <v>1.0309827021022229E-13</v>
      </c>
    </row>
    <row r="90" spans="1:13" x14ac:dyDescent="0.25">
      <c r="A90" s="3">
        <v>146.80000000000001</v>
      </c>
      <c r="B90" s="4">
        <v>0</v>
      </c>
      <c r="C90" s="1">
        <f t="shared" si="15"/>
        <v>9.3628379499219622E-40</v>
      </c>
      <c r="D90" s="1">
        <f t="shared" si="16"/>
        <v>8.7662734476498896E-79</v>
      </c>
      <c r="E90" s="1">
        <f t="shared" si="17"/>
        <v>2.5059705033304353E-7</v>
      </c>
      <c r="F90" s="1">
        <f t="shared" si="18"/>
        <v>3.2329685039296086E-11</v>
      </c>
      <c r="G90" s="1">
        <f t="shared" si="19"/>
        <v>3.0547237341284928E-302</v>
      </c>
      <c r="H90" s="1">
        <f t="shared" si="13"/>
        <v>2.5059705033304353E-7</v>
      </c>
      <c r="I90" s="2">
        <f t="shared" si="14"/>
        <v>6.2798881635621949E-14</v>
      </c>
      <c r="J90" s="2">
        <f t="shared" si="20"/>
        <v>2.5062938001808282E-7</v>
      </c>
      <c r="K90" s="2">
        <f t="shared" si="21"/>
        <v>6.2815086128248568E-14</v>
      </c>
      <c r="L90" s="2">
        <f t="shared" si="22"/>
        <v>2.5062938001808282E-7</v>
      </c>
      <c r="M90" s="2">
        <f t="shared" si="23"/>
        <v>6.2815086128248568E-14</v>
      </c>
    </row>
    <row r="91" spans="1:13" x14ac:dyDescent="0.25">
      <c r="A91" s="3">
        <v>161.19999999999999</v>
      </c>
      <c r="B91" s="4">
        <v>0</v>
      </c>
      <c r="C91" s="1">
        <f t="shared" si="15"/>
        <v>5.4635397081123672E-48</v>
      </c>
      <c r="D91" s="1">
        <f t="shared" si="16"/>
        <v>2.9850266142120569E-95</v>
      </c>
      <c r="E91" s="1">
        <f t="shared" si="17"/>
        <v>2.2821024983030294E-7</v>
      </c>
      <c r="F91" s="1">
        <f t="shared" si="18"/>
        <v>1.7096784826906954E-15</v>
      </c>
      <c r="G91" s="1">
        <f t="shared" si="19"/>
        <v>0</v>
      </c>
      <c r="H91" s="1">
        <f t="shared" si="13"/>
        <v>2.2821024983030294E-7</v>
      </c>
      <c r="I91" s="2">
        <f t="shared" si="14"/>
        <v>5.2079918127609282E-14</v>
      </c>
      <c r="J91" s="2">
        <f t="shared" si="20"/>
        <v>2.2821025153998143E-7</v>
      </c>
      <c r="K91" s="2">
        <f t="shared" si="21"/>
        <v>5.2079918907941598E-14</v>
      </c>
      <c r="L91" s="2">
        <f t="shared" si="22"/>
        <v>2.2821025153998143E-7</v>
      </c>
      <c r="M91" s="2">
        <f t="shared" si="23"/>
        <v>5.2079918907941598E-14</v>
      </c>
    </row>
    <row r="92" spans="1:13" x14ac:dyDescent="0.25">
      <c r="A92" s="3">
        <v>176.9</v>
      </c>
      <c r="B92" s="4">
        <v>0</v>
      </c>
      <c r="C92" s="1">
        <f t="shared" si="15"/>
        <v>7.8007880997568312E-58</v>
      </c>
      <c r="D92" s="1">
        <f t="shared" si="16"/>
        <v>6.0852294977307794E-115</v>
      </c>
      <c r="E92" s="1">
        <f t="shared" si="17"/>
        <v>2.0795537911870591E-7</v>
      </c>
      <c r="F92" s="1">
        <f t="shared" si="18"/>
        <v>3.1118602779435382E-21</v>
      </c>
      <c r="G92" s="1">
        <f t="shared" si="19"/>
        <v>0</v>
      </c>
      <c r="H92" s="1">
        <f t="shared" si="13"/>
        <v>2.0795537911870591E-7</v>
      </c>
      <c r="I92" s="2">
        <f t="shared" si="14"/>
        <v>4.3245439704404705E-14</v>
      </c>
      <c r="J92" s="2">
        <f t="shared" si="20"/>
        <v>2.0795537911870903E-7</v>
      </c>
      <c r="K92" s="2">
        <f t="shared" si="21"/>
        <v>4.3245439704406005E-14</v>
      </c>
      <c r="L92" s="2">
        <f t="shared" si="22"/>
        <v>2.0795537911870903E-7</v>
      </c>
      <c r="M92" s="2">
        <f t="shared" si="23"/>
        <v>4.3245439704406005E-14</v>
      </c>
    </row>
    <row r="93" spans="1:13" x14ac:dyDescent="0.25">
      <c r="A93" s="3">
        <v>194.2</v>
      </c>
      <c r="B93" s="4">
        <v>0</v>
      </c>
      <c r="C93" s="1">
        <f t="shared" si="15"/>
        <v>9.9403743100625681E-70</v>
      </c>
      <c r="D93" s="1">
        <f t="shared" si="16"/>
        <v>9.8811041424151878E-139</v>
      </c>
      <c r="E93" s="1">
        <f t="shared" si="17"/>
        <v>1.8942887733986318E-7</v>
      </c>
      <c r="F93" s="1">
        <f t="shared" si="18"/>
        <v>5.2422842007886194E-29</v>
      </c>
      <c r="G93" s="1">
        <f t="shared" si="19"/>
        <v>0</v>
      </c>
      <c r="H93" s="1">
        <f t="shared" si="13"/>
        <v>1.8942887733986318E-7</v>
      </c>
      <c r="I93" s="2">
        <f t="shared" si="14"/>
        <v>3.5883299570240929E-14</v>
      </c>
      <c r="J93" s="2">
        <f t="shared" si="20"/>
        <v>1.8942887733986318E-7</v>
      </c>
      <c r="K93" s="2">
        <f t="shared" si="21"/>
        <v>3.5883299570240929E-14</v>
      </c>
      <c r="L93" s="2">
        <f t="shared" si="22"/>
        <v>1.8942887733986318E-7</v>
      </c>
      <c r="M93" s="2">
        <f t="shared" si="23"/>
        <v>3.5883299570240929E-14</v>
      </c>
    </row>
    <row r="94" spans="1:13" x14ac:dyDescent="0.25">
      <c r="A94" s="3">
        <v>213.2</v>
      </c>
      <c r="B94" s="4">
        <v>0</v>
      </c>
      <c r="C94" s="1">
        <f t="shared" si="15"/>
        <v>4.7108244050242154E-84</v>
      </c>
      <c r="D94" s="1">
        <f t="shared" si="16"/>
        <v>2.2191866574971751E-167</v>
      </c>
      <c r="E94" s="1">
        <f t="shared" si="17"/>
        <v>1.7254613996482274E-7</v>
      </c>
      <c r="F94" s="1">
        <f t="shared" si="18"/>
        <v>1.7096490247503408E-39</v>
      </c>
      <c r="G94" s="1">
        <f t="shared" si="19"/>
        <v>0</v>
      </c>
      <c r="H94" s="1">
        <f t="shared" si="13"/>
        <v>1.7254613996482274E-7</v>
      </c>
      <c r="I94" s="2">
        <f t="shared" si="14"/>
        <v>2.9772170416760198E-14</v>
      </c>
      <c r="J94" s="2">
        <f t="shared" si="20"/>
        <v>1.7254613996482274E-7</v>
      </c>
      <c r="K94" s="2">
        <f t="shared" si="21"/>
        <v>2.9772170416760198E-14</v>
      </c>
      <c r="L94" s="2">
        <f t="shared" si="22"/>
        <v>1.7254613996482274E-7</v>
      </c>
      <c r="M94" s="2">
        <f t="shared" si="23"/>
        <v>2.9772170416760198E-14</v>
      </c>
    </row>
    <row r="95" spans="1:13" x14ac:dyDescent="0.25">
      <c r="A95" s="3">
        <v>234</v>
      </c>
      <c r="B95" s="4">
        <v>0</v>
      </c>
      <c r="C95" s="1">
        <f t="shared" si="15"/>
        <v>3.0336179421444015E-101</v>
      </c>
      <c r="D95" s="1">
        <f t="shared" si="16"/>
        <v>9.202837818900433E-202</v>
      </c>
      <c r="E95" s="1">
        <f t="shared" si="17"/>
        <v>1.5720749833347178E-7</v>
      </c>
      <c r="F95" s="1">
        <f t="shared" si="18"/>
        <v>1.3990552251741963E-53</v>
      </c>
      <c r="G95" s="1">
        <f t="shared" si="19"/>
        <v>0</v>
      </c>
      <c r="H95" s="1">
        <f t="shared" si="13"/>
        <v>1.5720749833347178E-7</v>
      </c>
      <c r="I95" s="2">
        <f t="shared" si="14"/>
        <v>2.4714197532268533E-14</v>
      </c>
      <c r="J95" s="2">
        <f t="shared" si="20"/>
        <v>1.5720749833347178E-7</v>
      </c>
      <c r="K95" s="2">
        <f t="shared" si="21"/>
        <v>2.4714197532268533E-14</v>
      </c>
      <c r="L95" s="2">
        <f t="shared" si="22"/>
        <v>1.5720749833347178E-7</v>
      </c>
      <c r="M95" s="2">
        <f t="shared" si="23"/>
        <v>2.4714197532268533E-14</v>
      </c>
    </row>
    <row r="96" spans="1:13" x14ac:dyDescent="0.25">
      <c r="A96" s="3">
        <v>256.89999999999998</v>
      </c>
      <c r="B96" s="4">
        <v>0</v>
      </c>
      <c r="C96" s="1">
        <f t="shared" si="15"/>
        <v>5.4209149449406159E-122</v>
      </c>
      <c r="D96" s="1">
        <f t="shared" si="16"/>
        <v>2.9386318840280522E-243</v>
      </c>
      <c r="E96" s="1">
        <f t="shared" si="17"/>
        <v>1.4319283397135674E-7</v>
      </c>
      <c r="F96" s="1">
        <f t="shared" si="18"/>
        <v>1.329976901826383E-72</v>
      </c>
      <c r="G96" s="1">
        <f t="shared" si="19"/>
        <v>0</v>
      </c>
      <c r="H96" s="1">
        <f t="shared" si="13"/>
        <v>1.4319283397135674E-7</v>
      </c>
      <c r="I96" s="2">
        <f t="shared" si="14"/>
        <v>2.0504187700748539E-14</v>
      </c>
      <c r="J96" s="2">
        <f t="shared" si="20"/>
        <v>1.4319283397135674E-7</v>
      </c>
      <c r="K96" s="2">
        <f t="shared" si="21"/>
        <v>2.0504187700748539E-14</v>
      </c>
      <c r="L96" s="2">
        <f t="shared" si="22"/>
        <v>1.4319283397135674E-7</v>
      </c>
      <c r="M96" s="2">
        <f t="shared" si="23"/>
        <v>2.0504187700748539E-14</v>
      </c>
    </row>
    <row r="97" spans="1:13" x14ac:dyDescent="0.25">
      <c r="A97" s="3">
        <v>282.10000000000002</v>
      </c>
      <c r="B97" s="4">
        <v>0</v>
      </c>
      <c r="C97" s="1">
        <f t="shared" si="15"/>
        <v>5.0258992663246905E-147</v>
      </c>
      <c r="D97" s="1">
        <f t="shared" si="16"/>
        <v>2.5259663435243064E-293</v>
      </c>
      <c r="E97" s="1">
        <f t="shared" si="17"/>
        <v>1.304001782900201E-7</v>
      </c>
      <c r="F97" s="1">
        <f t="shared" si="18"/>
        <v>2.8020515885390912E-98</v>
      </c>
      <c r="G97" s="1">
        <f t="shared" si="19"/>
        <v>0</v>
      </c>
      <c r="H97" s="1">
        <f t="shared" si="13"/>
        <v>1.304001782900201E-7</v>
      </c>
      <c r="I97" s="2">
        <f t="shared" si="14"/>
        <v>1.700420649806903E-14</v>
      </c>
      <c r="J97" s="2">
        <f t="shared" si="20"/>
        <v>1.304001782900201E-7</v>
      </c>
      <c r="K97" s="2">
        <f t="shared" si="21"/>
        <v>1.700420649806903E-14</v>
      </c>
      <c r="L97" s="2">
        <f t="shared" si="22"/>
        <v>1.304001782900201E-7</v>
      </c>
      <c r="M97" s="2">
        <f t="shared" si="23"/>
        <v>1.700420649806903E-14</v>
      </c>
    </row>
    <row r="98" spans="1:13" x14ac:dyDescent="0.25">
      <c r="A98" s="3">
        <v>309.60000000000002</v>
      </c>
      <c r="B98" s="4">
        <v>0</v>
      </c>
      <c r="C98" s="1">
        <f t="shared" si="15"/>
        <v>5.7185799231940291E-177</v>
      </c>
      <c r="D98" s="1">
        <f t="shared" si="16"/>
        <v>0</v>
      </c>
      <c r="E98" s="1">
        <f t="shared" si="17"/>
        <v>1.1881625114285775E-7</v>
      </c>
      <c r="F98" s="1">
        <f t="shared" si="18"/>
        <v>1.2673624048948648E-132</v>
      </c>
      <c r="G98" s="1">
        <f t="shared" si="19"/>
        <v>0</v>
      </c>
      <c r="H98" s="1">
        <f t="shared" ref="H98:H118" si="24">C98+E98</f>
        <v>1.1881625114285775E-7</v>
      </c>
      <c r="I98" s="2">
        <f t="shared" ref="I98:I118" si="25">(B98-H98)^2</f>
        <v>1.4117301535642645E-14</v>
      </c>
      <c r="J98" s="2">
        <f t="shared" si="20"/>
        <v>1.1881625114285775E-7</v>
      </c>
      <c r="K98" s="2">
        <f t="shared" si="21"/>
        <v>1.4117301535642645E-14</v>
      </c>
      <c r="L98" s="2">
        <f t="shared" si="22"/>
        <v>1.1881625114285775E-7</v>
      </c>
      <c r="M98" s="2">
        <f t="shared" si="23"/>
        <v>1.4117301535642645E-14</v>
      </c>
    </row>
    <row r="99" spans="1:13" x14ac:dyDescent="0.25">
      <c r="A99" s="3">
        <v>339.9</v>
      </c>
      <c r="B99" s="4">
        <v>0</v>
      </c>
      <c r="C99" s="1">
        <f t="shared" si="15"/>
        <v>3.9547996430433114E-213</v>
      </c>
      <c r="D99" s="1">
        <f t="shared" si="16"/>
        <v>0</v>
      </c>
      <c r="E99" s="1">
        <f t="shared" si="17"/>
        <v>1.0822329687633145E-7</v>
      </c>
      <c r="F99" s="1">
        <f t="shared" si="18"/>
        <v>5.4647536485402299E-179</v>
      </c>
      <c r="G99" s="1">
        <f t="shared" si="19"/>
        <v>0</v>
      </c>
      <c r="H99" s="1">
        <f t="shared" si="24"/>
        <v>1.0822329687633145E-7</v>
      </c>
      <c r="I99" s="2">
        <f t="shared" si="25"/>
        <v>1.1712281986782573E-14</v>
      </c>
      <c r="J99" s="2">
        <f t="shared" si="20"/>
        <v>1.0822329687633145E-7</v>
      </c>
      <c r="K99" s="2">
        <f t="shared" si="21"/>
        <v>1.1712281986782573E-14</v>
      </c>
      <c r="L99" s="2">
        <f t="shared" si="22"/>
        <v>1.0822329687633145E-7</v>
      </c>
      <c r="M99" s="2">
        <f t="shared" si="23"/>
        <v>1.1712281986782573E-14</v>
      </c>
    </row>
    <row r="100" spans="1:13" x14ac:dyDescent="0.25">
      <c r="A100" s="3">
        <v>373.1</v>
      </c>
      <c r="B100" s="4">
        <v>0</v>
      </c>
      <c r="C100" s="1">
        <f t="shared" si="15"/>
        <v>1.4816995751351863E-256</v>
      </c>
      <c r="D100" s="1">
        <f t="shared" si="16"/>
        <v>0</v>
      </c>
      <c r="E100" s="1">
        <f t="shared" si="17"/>
        <v>9.8591943886712754E-8</v>
      </c>
      <c r="F100" s="1">
        <f t="shared" si="18"/>
        <v>3.1048787592189841E-241</v>
      </c>
      <c r="G100" s="1">
        <f t="shared" si="19"/>
        <v>0</v>
      </c>
      <c r="H100" s="1">
        <f t="shared" si="24"/>
        <v>9.8591943886712754E-8</v>
      </c>
      <c r="I100" s="2">
        <f t="shared" si="25"/>
        <v>9.7203713993607162E-15</v>
      </c>
      <c r="J100" s="2">
        <f t="shared" si="20"/>
        <v>9.8591943886712754E-8</v>
      </c>
      <c r="K100" s="2">
        <f t="shared" si="21"/>
        <v>9.7203713993607162E-15</v>
      </c>
      <c r="L100" s="2">
        <f t="shared" si="22"/>
        <v>9.8591943886712754E-8</v>
      </c>
      <c r="M100" s="2">
        <f t="shared" si="23"/>
        <v>9.7203713993607162E-15</v>
      </c>
    </row>
    <row r="101" spans="1:13" x14ac:dyDescent="0.25">
      <c r="A101" s="3">
        <v>409.6</v>
      </c>
      <c r="B101" s="4">
        <v>0</v>
      </c>
      <c r="C101" s="1">
        <f t="shared" si="15"/>
        <v>0</v>
      </c>
      <c r="D101" s="1">
        <f t="shared" si="16"/>
        <v>0</v>
      </c>
      <c r="E101" s="1">
        <f t="shared" si="17"/>
        <v>8.980511916439288E-8</v>
      </c>
      <c r="F101" s="1">
        <f t="shared" si="18"/>
        <v>0</v>
      </c>
      <c r="G101" s="1">
        <f t="shared" si="19"/>
        <v>0</v>
      </c>
      <c r="H101" s="1">
        <f t="shared" si="24"/>
        <v>8.980511916439288E-8</v>
      </c>
      <c r="I101" s="2">
        <f t="shared" si="25"/>
        <v>8.064959428130806E-15</v>
      </c>
      <c r="J101" s="2">
        <f t="shared" si="20"/>
        <v>8.980511916439288E-8</v>
      </c>
      <c r="K101" s="2">
        <f t="shared" si="21"/>
        <v>8.064959428130806E-15</v>
      </c>
      <c r="L101" s="2">
        <f t="shared" si="22"/>
        <v>8.980511916439288E-8</v>
      </c>
      <c r="M101" s="2">
        <f t="shared" si="23"/>
        <v>8.064959428130806E-15</v>
      </c>
    </row>
    <row r="102" spans="1:13" x14ac:dyDescent="0.25">
      <c r="A102" s="59">
        <v>449.66</v>
      </c>
      <c r="B102" s="59">
        <v>0</v>
      </c>
      <c r="C102" s="1">
        <f t="shared" si="15"/>
        <v>0</v>
      </c>
      <c r="D102" s="1">
        <f t="shared" si="16"/>
        <v>0</v>
      </c>
      <c r="E102" s="1">
        <f t="shared" si="17"/>
        <v>8.1803289134226516E-8</v>
      </c>
      <c r="F102" s="1">
        <f t="shared" si="18"/>
        <v>0</v>
      </c>
      <c r="G102" s="1">
        <f t="shared" si="19"/>
        <v>0</v>
      </c>
      <c r="H102" s="1">
        <f t="shared" si="24"/>
        <v>8.1803289134226516E-8</v>
      </c>
      <c r="I102" s="2">
        <f t="shared" si="25"/>
        <v>6.6917781131778619E-15</v>
      </c>
      <c r="J102" s="2">
        <f t="shared" si="20"/>
        <v>8.1803289134226516E-8</v>
      </c>
      <c r="K102" s="2">
        <f t="shared" si="21"/>
        <v>6.6917781131778619E-15</v>
      </c>
      <c r="L102" s="2">
        <f t="shared" si="22"/>
        <v>8.1803289134226516E-8</v>
      </c>
      <c r="M102" s="2">
        <f t="shared" si="23"/>
        <v>6.6917781131778619E-15</v>
      </c>
    </row>
    <row r="103" spans="1:13" x14ac:dyDescent="0.25">
      <c r="A103" s="59">
        <v>493.62</v>
      </c>
      <c r="B103" s="59">
        <v>0</v>
      </c>
      <c r="C103" s="1">
        <f t="shared" si="15"/>
        <v>0</v>
      </c>
      <c r="D103" s="1">
        <f t="shared" si="16"/>
        <v>0</v>
      </c>
      <c r="E103" s="1">
        <f t="shared" si="17"/>
        <v>7.4517087804433268E-8</v>
      </c>
      <c r="F103" s="1">
        <f t="shared" si="18"/>
        <v>0</v>
      </c>
      <c r="G103" s="1">
        <f t="shared" si="19"/>
        <v>0</v>
      </c>
      <c r="H103" s="1">
        <f t="shared" si="24"/>
        <v>7.4517087804433268E-8</v>
      </c>
      <c r="I103" s="2">
        <f t="shared" si="25"/>
        <v>5.5527963748536171E-15</v>
      </c>
      <c r="J103" s="2">
        <f t="shared" si="20"/>
        <v>7.4517087804433268E-8</v>
      </c>
      <c r="K103" s="2">
        <f t="shared" si="21"/>
        <v>5.5527963748536171E-15</v>
      </c>
      <c r="L103" s="2">
        <f t="shared" si="22"/>
        <v>7.4517087804433268E-8</v>
      </c>
      <c r="M103" s="2">
        <f t="shared" si="23"/>
        <v>5.5527963748536171E-15</v>
      </c>
    </row>
    <row r="104" spans="1:13" x14ac:dyDescent="0.25">
      <c r="A104" s="59">
        <v>541.88</v>
      </c>
      <c r="B104" s="59">
        <v>0</v>
      </c>
      <c r="C104" s="1">
        <f t="shared" si="15"/>
        <v>0</v>
      </c>
      <c r="D104" s="1">
        <f t="shared" si="16"/>
        <v>0</v>
      </c>
      <c r="E104" s="1">
        <f t="shared" si="17"/>
        <v>6.7879512494512499E-8</v>
      </c>
      <c r="F104" s="1">
        <f t="shared" si="18"/>
        <v>0</v>
      </c>
      <c r="G104" s="1">
        <f t="shared" si="19"/>
        <v>0</v>
      </c>
      <c r="H104" s="1">
        <f t="shared" si="24"/>
        <v>6.7879512494512499E-8</v>
      </c>
      <c r="I104" s="2">
        <f t="shared" si="25"/>
        <v>4.6076282164926785E-15</v>
      </c>
      <c r="J104" s="2">
        <f t="shared" si="20"/>
        <v>6.7879512494512499E-8</v>
      </c>
      <c r="K104" s="2">
        <f t="shared" si="21"/>
        <v>4.6076282164926785E-15</v>
      </c>
      <c r="L104" s="2">
        <f t="shared" si="22"/>
        <v>6.7879512494512499E-8</v>
      </c>
      <c r="M104" s="2">
        <f t="shared" si="23"/>
        <v>4.6076282164926785E-15</v>
      </c>
    </row>
    <row r="105" spans="1:13" x14ac:dyDescent="0.25">
      <c r="A105" s="59">
        <v>594.85</v>
      </c>
      <c r="B105" s="59">
        <v>0</v>
      </c>
      <c r="C105" s="1">
        <f t="shared" si="15"/>
        <v>0</v>
      </c>
      <c r="D105" s="1">
        <f t="shared" si="16"/>
        <v>0</v>
      </c>
      <c r="E105" s="1">
        <f t="shared" si="17"/>
        <v>6.1833980206829144E-8</v>
      </c>
      <c r="F105" s="1">
        <f t="shared" si="18"/>
        <v>0</v>
      </c>
      <c r="G105" s="1">
        <f t="shared" si="19"/>
        <v>0</v>
      </c>
      <c r="H105" s="1">
        <f t="shared" si="24"/>
        <v>6.1833980206829144E-8</v>
      </c>
      <c r="I105" s="2">
        <f t="shared" si="25"/>
        <v>3.8234411082185386E-15</v>
      </c>
      <c r="J105" s="2">
        <f t="shared" si="20"/>
        <v>6.1833980206829144E-8</v>
      </c>
      <c r="K105" s="2">
        <f t="shared" si="21"/>
        <v>3.8234411082185386E-15</v>
      </c>
      <c r="L105" s="2">
        <f t="shared" si="22"/>
        <v>6.1833980206829144E-8</v>
      </c>
      <c r="M105" s="2">
        <f t="shared" si="23"/>
        <v>3.8234411082185386E-15</v>
      </c>
    </row>
    <row r="106" spans="1:13" x14ac:dyDescent="0.25">
      <c r="A106" s="59">
        <v>653.01</v>
      </c>
      <c r="B106" s="59">
        <v>0</v>
      </c>
      <c r="C106" s="1">
        <f t="shared" si="15"/>
        <v>0</v>
      </c>
      <c r="D106" s="1">
        <f t="shared" si="16"/>
        <v>0</v>
      </c>
      <c r="E106" s="1">
        <f t="shared" si="17"/>
        <v>5.632578877312871E-8</v>
      </c>
      <c r="F106" s="1">
        <f t="shared" si="18"/>
        <v>0</v>
      </c>
      <c r="G106" s="1">
        <f t="shared" si="19"/>
        <v>0</v>
      </c>
      <c r="H106" s="1">
        <f t="shared" si="24"/>
        <v>5.632578877312871E-8</v>
      </c>
      <c r="I106" s="2">
        <f t="shared" si="25"/>
        <v>3.1725944809151123E-15</v>
      </c>
      <c r="J106" s="2">
        <f t="shared" si="20"/>
        <v>5.632578877312871E-8</v>
      </c>
      <c r="K106" s="2">
        <f t="shared" si="21"/>
        <v>3.1725944809151123E-15</v>
      </c>
      <c r="L106" s="2">
        <f t="shared" si="22"/>
        <v>5.632578877312871E-8</v>
      </c>
      <c r="M106" s="2">
        <f t="shared" si="23"/>
        <v>3.1725944809151123E-15</v>
      </c>
    </row>
    <row r="107" spans="1:13" x14ac:dyDescent="0.25">
      <c r="A107" s="59">
        <v>716.85</v>
      </c>
      <c r="B107" s="59">
        <v>0</v>
      </c>
      <c r="C107" s="1">
        <f t="shared" si="15"/>
        <v>0</v>
      </c>
      <c r="D107" s="1">
        <f t="shared" si="16"/>
        <v>0</v>
      </c>
      <c r="E107" s="1">
        <f t="shared" si="17"/>
        <v>5.1308685202487827E-8</v>
      </c>
      <c r="F107" s="1">
        <f t="shared" si="18"/>
        <v>0</v>
      </c>
      <c r="G107" s="1">
        <f t="shared" si="19"/>
        <v>0</v>
      </c>
      <c r="H107" s="1">
        <f t="shared" si="24"/>
        <v>5.1308685202487827E-8</v>
      </c>
      <c r="I107" s="2">
        <f t="shared" si="25"/>
        <v>2.6325811772079933E-15</v>
      </c>
      <c r="J107" s="2">
        <f t="shared" si="20"/>
        <v>5.1308685202487827E-8</v>
      </c>
      <c r="K107" s="2">
        <f t="shared" si="21"/>
        <v>2.6325811772079933E-15</v>
      </c>
      <c r="L107" s="2">
        <f t="shared" si="22"/>
        <v>5.1308685202487827E-8</v>
      </c>
      <c r="M107" s="2">
        <f t="shared" si="23"/>
        <v>2.6325811772079933E-15</v>
      </c>
    </row>
    <row r="108" spans="1:13" x14ac:dyDescent="0.25">
      <c r="A108" s="59">
        <v>786.93</v>
      </c>
      <c r="B108" s="59">
        <v>0</v>
      </c>
      <c r="C108" s="1">
        <f t="shared" si="15"/>
        <v>0</v>
      </c>
      <c r="D108" s="1">
        <f t="shared" si="16"/>
        <v>0</v>
      </c>
      <c r="E108" s="1">
        <f t="shared" si="17"/>
        <v>4.6738497745299302E-8</v>
      </c>
      <c r="F108" s="1">
        <f t="shared" si="18"/>
        <v>0</v>
      </c>
      <c r="G108" s="1">
        <f t="shared" si="19"/>
        <v>0</v>
      </c>
      <c r="H108" s="1">
        <f t="shared" si="24"/>
        <v>4.6738497745299302E-8</v>
      </c>
      <c r="I108" s="2">
        <f t="shared" si="25"/>
        <v>2.1844871714873478E-15</v>
      </c>
      <c r="J108" s="2">
        <f t="shared" si="20"/>
        <v>4.6738497745299302E-8</v>
      </c>
      <c r="K108" s="2">
        <f t="shared" si="21"/>
        <v>2.1844871714873478E-15</v>
      </c>
      <c r="L108" s="2">
        <f t="shared" si="22"/>
        <v>4.6738497745299302E-8</v>
      </c>
      <c r="M108" s="2">
        <f t="shared" si="23"/>
        <v>2.1844871714873478E-15</v>
      </c>
    </row>
    <row r="109" spans="1:13" x14ac:dyDescent="0.25">
      <c r="A109" s="59">
        <v>863.87</v>
      </c>
      <c r="B109" s="59">
        <v>0</v>
      </c>
      <c r="C109" s="1">
        <f t="shared" si="15"/>
        <v>0</v>
      </c>
      <c r="D109" s="1">
        <f t="shared" si="16"/>
        <v>0</v>
      </c>
      <c r="E109" s="1">
        <f t="shared" si="17"/>
        <v>4.2574910963790133E-8</v>
      </c>
      <c r="F109" s="1">
        <f t="shared" si="18"/>
        <v>0</v>
      </c>
      <c r="G109" s="1">
        <f t="shared" si="19"/>
        <v>0</v>
      </c>
      <c r="H109" s="1">
        <f t="shared" si="24"/>
        <v>4.2574910963790133E-8</v>
      </c>
      <c r="I109" s="2">
        <f t="shared" si="25"/>
        <v>1.8126230435746574E-15</v>
      </c>
      <c r="J109" s="2">
        <f t="shared" si="20"/>
        <v>4.2574910963790133E-8</v>
      </c>
      <c r="K109" s="2">
        <f t="shared" si="21"/>
        <v>1.8126230435746574E-15</v>
      </c>
      <c r="L109" s="2">
        <f t="shared" si="22"/>
        <v>4.2574910963790133E-8</v>
      </c>
      <c r="M109" s="2">
        <f t="shared" si="23"/>
        <v>1.8126230435746574E-15</v>
      </c>
    </row>
    <row r="110" spans="1:13" x14ac:dyDescent="0.25">
      <c r="A110" s="59">
        <v>948.32</v>
      </c>
      <c r="B110" s="59">
        <v>0</v>
      </c>
      <c r="C110" s="1">
        <f t="shared" si="15"/>
        <v>0</v>
      </c>
      <c r="D110" s="1">
        <f t="shared" si="16"/>
        <v>0</v>
      </c>
      <c r="E110" s="1">
        <f t="shared" si="17"/>
        <v>3.8782708429474044E-8</v>
      </c>
      <c r="F110" s="1">
        <f t="shared" si="18"/>
        <v>0</v>
      </c>
      <c r="G110" s="1">
        <f t="shared" si="19"/>
        <v>0</v>
      </c>
      <c r="H110" s="1">
        <f t="shared" si="24"/>
        <v>3.8782708429474044E-8</v>
      </c>
      <c r="I110" s="2">
        <f t="shared" si="25"/>
        <v>1.5040984731255971E-15</v>
      </c>
      <c r="J110" s="2">
        <f t="shared" si="20"/>
        <v>3.8782708429474044E-8</v>
      </c>
      <c r="K110" s="2">
        <f t="shared" si="21"/>
        <v>1.5040984731255971E-15</v>
      </c>
      <c r="L110" s="2">
        <f t="shared" si="22"/>
        <v>3.8782708429474044E-8</v>
      </c>
      <c r="M110" s="2">
        <f t="shared" si="23"/>
        <v>1.5040984731255971E-15</v>
      </c>
    </row>
    <row r="111" spans="1:13" x14ac:dyDescent="0.25">
      <c r="A111" s="59">
        <v>1041</v>
      </c>
      <c r="B111" s="59">
        <v>0</v>
      </c>
      <c r="C111" s="1">
        <f t="shared" si="15"/>
        <v>0</v>
      </c>
      <c r="D111" s="1">
        <f t="shared" si="16"/>
        <v>0</v>
      </c>
      <c r="E111" s="1">
        <f t="shared" si="17"/>
        <v>3.5329121312686719E-8</v>
      </c>
      <c r="F111" s="1">
        <f t="shared" si="18"/>
        <v>0</v>
      </c>
      <c r="G111" s="1">
        <f t="shared" si="19"/>
        <v>0</v>
      </c>
      <c r="H111" s="1">
        <f t="shared" si="24"/>
        <v>3.5329121312686719E-8</v>
      </c>
      <c r="I111" s="2">
        <f t="shared" si="25"/>
        <v>1.248146812726535E-15</v>
      </c>
      <c r="J111" s="2">
        <f t="shared" si="20"/>
        <v>3.5329121312686719E-8</v>
      </c>
      <c r="K111" s="2">
        <f t="shared" si="21"/>
        <v>1.248146812726535E-15</v>
      </c>
      <c r="L111" s="2">
        <f t="shared" si="22"/>
        <v>3.5329121312686719E-8</v>
      </c>
      <c r="M111" s="2">
        <f t="shared" si="23"/>
        <v>1.248146812726535E-15</v>
      </c>
    </row>
    <row r="112" spans="1:13" x14ac:dyDescent="0.25">
      <c r="A112" s="59">
        <v>1142.8</v>
      </c>
      <c r="B112" s="59">
        <v>0</v>
      </c>
      <c r="C112" s="1">
        <f t="shared" si="15"/>
        <v>0</v>
      </c>
      <c r="D112" s="1">
        <f t="shared" si="16"/>
        <v>0</v>
      </c>
      <c r="E112" s="1">
        <f t="shared" si="17"/>
        <v>3.2181290947335024E-8</v>
      </c>
      <c r="F112" s="1">
        <f t="shared" si="18"/>
        <v>0</v>
      </c>
      <c r="G112" s="1">
        <f t="shared" si="19"/>
        <v>0</v>
      </c>
      <c r="H112" s="1">
        <f t="shared" si="24"/>
        <v>3.2181290947335024E-8</v>
      </c>
      <c r="I112" s="2">
        <f t="shared" si="25"/>
        <v>1.0356354870370272E-15</v>
      </c>
      <c r="J112" s="2">
        <f t="shared" si="20"/>
        <v>3.2181290947335024E-8</v>
      </c>
      <c r="K112" s="2">
        <f t="shared" si="21"/>
        <v>1.0356354870370272E-15</v>
      </c>
      <c r="L112" s="2">
        <f t="shared" si="22"/>
        <v>3.2181290947335024E-8</v>
      </c>
      <c r="M112" s="2">
        <f t="shared" si="23"/>
        <v>1.0356354870370272E-15</v>
      </c>
    </row>
    <row r="113" spans="1:13" x14ac:dyDescent="0.25">
      <c r="A113" s="59">
        <v>1254.5</v>
      </c>
      <c r="B113" s="59">
        <v>0</v>
      </c>
      <c r="C113" s="1">
        <f t="shared" si="15"/>
        <v>0</v>
      </c>
      <c r="D113" s="1">
        <f t="shared" si="16"/>
        <v>0</v>
      </c>
      <c r="E113" s="1">
        <f t="shared" si="17"/>
        <v>2.9315194045647966E-8</v>
      </c>
      <c r="F113" s="1">
        <f t="shared" si="18"/>
        <v>0</v>
      </c>
      <c r="G113" s="1">
        <f t="shared" si="19"/>
        <v>0</v>
      </c>
      <c r="H113" s="1">
        <f t="shared" si="24"/>
        <v>2.9315194045647966E-8</v>
      </c>
      <c r="I113" s="2">
        <f t="shared" si="25"/>
        <v>8.5938060193399394E-16</v>
      </c>
      <c r="J113" s="2">
        <f t="shared" si="20"/>
        <v>2.9315194045647966E-8</v>
      </c>
      <c r="K113" s="2">
        <f t="shared" si="21"/>
        <v>8.5938060193399394E-16</v>
      </c>
      <c r="L113" s="2">
        <f t="shared" si="22"/>
        <v>2.9315194045647966E-8</v>
      </c>
      <c r="M113" s="2">
        <f t="shared" si="23"/>
        <v>8.5938060193399394E-16</v>
      </c>
    </row>
    <row r="114" spans="1:13" x14ac:dyDescent="0.25">
      <c r="A114" s="59">
        <v>1377.2</v>
      </c>
      <c r="B114" s="59">
        <v>0</v>
      </c>
      <c r="C114" s="1">
        <f t="shared" si="15"/>
        <v>0</v>
      </c>
      <c r="D114" s="1">
        <f t="shared" si="16"/>
        <v>0</v>
      </c>
      <c r="E114" s="1">
        <f t="shared" si="17"/>
        <v>2.6702736851863228E-8</v>
      </c>
      <c r="F114" s="1">
        <f t="shared" si="18"/>
        <v>0</v>
      </c>
      <c r="G114" s="1">
        <f t="shared" si="19"/>
        <v>0</v>
      </c>
      <c r="H114" s="1">
        <f t="shared" si="24"/>
        <v>2.6702736851863228E-8</v>
      </c>
      <c r="I114" s="2">
        <f t="shared" si="25"/>
        <v>7.1303615537985452E-16</v>
      </c>
      <c r="J114" s="2">
        <f t="shared" si="20"/>
        <v>2.6702736851863228E-8</v>
      </c>
      <c r="K114" s="2">
        <f t="shared" si="21"/>
        <v>7.1303615537985452E-16</v>
      </c>
      <c r="L114" s="2">
        <f t="shared" si="22"/>
        <v>2.6702736851863228E-8</v>
      </c>
      <c r="M114" s="2">
        <f t="shared" si="23"/>
        <v>7.1303615537985452E-16</v>
      </c>
    </row>
    <row r="115" spans="1:13" x14ac:dyDescent="0.25">
      <c r="A115" s="59">
        <v>1511.8</v>
      </c>
      <c r="B115" s="59">
        <v>0</v>
      </c>
      <c r="C115" s="1">
        <f t="shared" si="15"/>
        <v>0</v>
      </c>
      <c r="D115" s="1">
        <f t="shared" si="16"/>
        <v>0</v>
      </c>
      <c r="E115" s="1">
        <f t="shared" si="17"/>
        <v>2.4324695911430768E-8</v>
      </c>
      <c r="F115" s="1">
        <f t="shared" si="18"/>
        <v>0</v>
      </c>
      <c r="G115" s="1">
        <f t="shared" si="19"/>
        <v>0</v>
      </c>
      <c r="H115" s="1">
        <f t="shared" si="24"/>
        <v>2.4324695911430768E-8</v>
      </c>
      <c r="I115" s="2">
        <f t="shared" si="25"/>
        <v>5.9169083118357673E-16</v>
      </c>
      <c r="J115" s="2">
        <f t="shared" si="20"/>
        <v>2.4324695911430768E-8</v>
      </c>
      <c r="K115" s="2">
        <f t="shared" si="21"/>
        <v>5.9169083118357673E-16</v>
      </c>
      <c r="L115" s="2">
        <f t="shared" si="22"/>
        <v>2.4324695911430768E-8</v>
      </c>
      <c r="M115" s="2">
        <f t="shared" si="23"/>
        <v>5.9169083118357673E-16</v>
      </c>
    </row>
    <row r="116" spans="1:13" x14ac:dyDescent="0.25">
      <c r="A116" s="59">
        <v>1659.6</v>
      </c>
      <c r="B116" s="59">
        <v>0</v>
      </c>
      <c r="C116" s="1">
        <f t="shared" si="15"/>
        <v>0</v>
      </c>
      <c r="D116" s="1">
        <f t="shared" si="16"/>
        <v>0</v>
      </c>
      <c r="E116" s="1">
        <f t="shared" si="17"/>
        <v>2.2157814077021244E-8</v>
      </c>
      <c r="F116" s="1">
        <f t="shared" si="18"/>
        <v>0</v>
      </c>
      <c r="G116" s="1">
        <f t="shared" si="19"/>
        <v>0</v>
      </c>
      <c r="H116" s="1">
        <f t="shared" si="24"/>
        <v>2.2157814077021244E-8</v>
      </c>
      <c r="I116" s="2">
        <f t="shared" si="25"/>
        <v>4.9096872467184087E-16</v>
      </c>
      <c r="J116" s="2">
        <f t="shared" si="20"/>
        <v>2.2157814077021244E-8</v>
      </c>
      <c r="K116" s="2">
        <f t="shared" si="21"/>
        <v>4.9096872467184087E-16</v>
      </c>
      <c r="L116" s="2">
        <f t="shared" si="22"/>
        <v>2.2157814077021244E-8</v>
      </c>
      <c r="M116" s="2">
        <f t="shared" si="23"/>
        <v>4.9096872467184087E-16</v>
      </c>
    </row>
    <row r="117" spans="1:13" x14ac:dyDescent="0.25">
      <c r="A117" s="59">
        <v>1821.9</v>
      </c>
      <c r="B117" s="59">
        <v>0</v>
      </c>
      <c r="C117" s="1">
        <f t="shared" si="15"/>
        <v>0</v>
      </c>
      <c r="D117" s="1">
        <f t="shared" si="16"/>
        <v>0</v>
      </c>
      <c r="E117" s="1">
        <f t="shared" si="17"/>
        <v>2.0183384389351978E-8</v>
      </c>
      <c r="F117" s="1">
        <f t="shared" si="18"/>
        <v>0</v>
      </c>
      <c r="G117" s="1">
        <f t="shared" si="19"/>
        <v>0</v>
      </c>
      <c r="H117" s="1">
        <f t="shared" si="24"/>
        <v>2.0183384389351978E-8</v>
      </c>
      <c r="I117" s="2">
        <f t="shared" si="25"/>
        <v>4.0736900540833712E-16</v>
      </c>
      <c r="J117" s="2">
        <f t="shared" si="20"/>
        <v>2.0183384389351978E-8</v>
      </c>
      <c r="K117" s="2">
        <f t="shared" si="21"/>
        <v>4.0736900540833712E-16</v>
      </c>
      <c r="L117" s="2">
        <f t="shared" si="22"/>
        <v>2.0183384389351978E-8</v>
      </c>
      <c r="M117" s="2">
        <f t="shared" si="23"/>
        <v>4.0736900540833712E-16</v>
      </c>
    </row>
    <row r="118" spans="1:13" x14ac:dyDescent="0.25">
      <c r="A118" s="80">
        <v>2000</v>
      </c>
      <c r="B118" s="80"/>
      <c r="C118" s="1">
        <f t="shared" si="15"/>
        <v>0</v>
      </c>
      <c r="D118" s="1">
        <f t="shared" si="16"/>
        <v>0</v>
      </c>
      <c r="E118" s="1">
        <f t="shared" si="17"/>
        <v>1.8385537634304756E-8</v>
      </c>
      <c r="F118" s="1">
        <f t="shared" si="18"/>
        <v>0</v>
      </c>
      <c r="G118" s="1">
        <f t="shared" si="19"/>
        <v>0</v>
      </c>
      <c r="H118" s="1">
        <f t="shared" si="24"/>
        <v>1.8385537634304756E-8</v>
      </c>
      <c r="I118" s="2">
        <f t="shared" si="25"/>
        <v>3.3802799410243654E-16</v>
      </c>
      <c r="J118" s="2">
        <f t="shared" si="20"/>
        <v>1.8385537634304756E-8</v>
      </c>
      <c r="K118" s="2">
        <f t="shared" si="21"/>
        <v>3.3802799410243654E-16</v>
      </c>
      <c r="L118" s="2">
        <f t="shared" si="22"/>
        <v>1.8385537634304756E-8</v>
      </c>
      <c r="M118" s="2">
        <f t="shared" si="23"/>
        <v>3.3802799410243654E-16</v>
      </c>
    </row>
    <row r="119" spans="1:13" x14ac:dyDescent="0.25">
      <c r="C119" s="115">
        <f t="shared" ref="C119:L119" si="26">SUM(C2:C118)</f>
        <v>39.885626235861849</v>
      </c>
      <c r="D119" s="158">
        <f t="shared" si="26"/>
        <v>218.03050988233306</v>
      </c>
      <c r="E119" s="115">
        <f t="shared" si="26"/>
        <v>1.0301767413412528E-2</v>
      </c>
      <c r="F119" s="115">
        <f t="shared" si="26"/>
        <v>61.162893316870893</v>
      </c>
      <c r="G119" s="115">
        <f t="shared" si="26"/>
        <v>29.372181059842767</v>
      </c>
      <c r="H119" s="115">
        <f t="shared" si="26"/>
        <v>39.895928003275259</v>
      </c>
      <c r="I119" s="159">
        <f t="shared" si="26"/>
        <v>218.03065097052445</v>
      </c>
      <c r="J119" s="116">
        <f t="shared" si="26"/>
        <v>101.05882132014614</v>
      </c>
      <c r="K119" s="159">
        <f t="shared" si="26"/>
        <v>0.29231124835514682</v>
      </c>
      <c r="L119" s="116">
        <f t="shared" si="26"/>
        <v>130.431002379989</v>
      </c>
      <c r="M119" s="159">
        <f>SUM(M13:M118)</f>
        <v>44.998283963820604</v>
      </c>
    </row>
    <row r="120" spans="1:13" x14ac:dyDescent="0.25">
      <c r="C120">
        <v>1</v>
      </c>
      <c r="D120"/>
      <c r="E120">
        <v>2</v>
      </c>
      <c r="F120">
        <v>3</v>
      </c>
      <c r="G120">
        <v>4</v>
      </c>
      <c r="H120" t="s">
        <v>76</v>
      </c>
      <c r="I120"/>
      <c r="J120"/>
      <c r="K120"/>
      <c r="L120"/>
      <c r="M120"/>
    </row>
    <row r="121" spans="1:13" x14ac:dyDescent="0.25"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C128"/>
      <c r="D128"/>
      <c r="E128"/>
      <c r="F128"/>
      <c r="G128"/>
      <c r="H128"/>
      <c r="I128"/>
      <c r="J128"/>
      <c r="K128"/>
      <c r="L128"/>
      <c r="M128"/>
    </row>
    <row r="129" spans="3:13" x14ac:dyDescent="0.25">
      <c r="C129"/>
      <c r="D129"/>
      <c r="E129"/>
      <c r="F129"/>
      <c r="G129"/>
      <c r="H129"/>
      <c r="I129"/>
      <c r="J129"/>
      <c r="K129"/>
      <c r="L129"/>
      <c r="M129"/>
    </row>
    <row r="130" spans="3:13" x14ac:dyDescent="0.25">
      <c r="C130"/>
      <c r="D130"/>
      <c r="E130"/>
      <c r="F130"/>
      <c r="G130"/>
      <c r="H130"/>
      <c r="I130"/>
      <c r="J130"/>
      <c r="K130"/>
      <c r="L130"/>
      <c r="M130"/>
    </row>
    <row r="131" spans="3:13" x14ac:dyDescent="0.25">
      <c r="C131"/>
      <c r="D131"/>
      <c r="E131"/>
      <c r="F131"/>
      <c r="G131"/>
      <c r="H131"/>
      <c r="I131"/>
      <c r="J131"/>
      <c r="K131"/>
      <c r="L131"/>
      <c r="M131"/>
    </row>
    <row r="132" spans="3:13" x14ac:dyDescent="0.25">
      <c r="C132"/>
      <c r="D132"/>
      <c r="E132"/>
      <c r="F132"/>
      <c r="G132"/>
      <c r="H132"/>
      <c r="I132"/>
      <c r="J132"/>
      <c r="K132"/>
      <c r="L132"/>
      <c r="M132"/>
    </row>
    <row r="133" spans="3:13" x14ac:dyDescent="0.25">
      <c r="C133"/>
      <c r="D133"/>
      <c r="E133"/>
      <c r="F133"/>
      <c r="G133"/>
      <c r="H133"/>
      <c r="I133"/>
      <c r="J133"/>
      <c r="K133"/>
      <c r="L133"/>
      <c r="M133"/>
    </row>
    <row r="134" spans="3:13" x14ac:dyDescent="0.25">
      <c r="C134"/>
      <c r="D134"/>
      <c r="E134"/>
      <c r="F134"/>
      <c r="G134"/>
      <c r="H134"/>
      <c r="I134"/>
      <c r="J134"/>
      <c r="K134"/>
      <c r="L134"/>
      <c r="M134"/>
    </row>
    <row r="135" spans="3:13" x14ac:dyDescent="0.25">
      <c r="C135"/>
      <c r="D135"/>
      <c r="E135"/>
      <c r="F135"/>
      <c r="G135"/>
      <c r="H135"/>
      <c r="I135"/>
      <c r="J135"/>
      <c r="K135"/>
      <c r="L135"/>
      <c r="M135"/>
    </row>
    <row r="136" spans="3:13" x14ac:dyDescent="0.25">
      <c r="C136"/>
      <c r="D136"/>
      <c r="E136"/>
      <c r="F136"/>
      <c r="G136"/>
      <c r="H136"/>
      <c r="I136"/>
      <c r="J136"/>
      <c r="K136"/>
      <c r="L136"/>
      <c r="M136"/>
    </row>
    <row r="137" spans="3:13" x14ac:dyDescent="0.25">
      <c r="C137"/>
      <c r="D137"/>
      <c r="E137"/>
      <c r="F137"/>
      <c r="G137"/>
      <c r="H137"/>
      <c r="I137"/>
      <c r="J137"/>
      <c r="K137"/>
      <c r="L137"/>
      <c r="M137"/>
    </row>
    <row r="138" spans="3:13" x14ac:dyDescent="0.25">
      <c r="C138"/>
      <c r="D138"/>
      <c r="E138"/>
      <c r="F138"/>
      <c r="G138"/>
      <c r="H138"/>
      <c r="I138"/>
      <c r="J138"/>
      <c r="K138"/>
      <c r="L138"/>
      <c r="M138"/>
    </row>
    <row r="139" spans="3:13" x14ac:dyDescent="0.25">
      <c r="C139"/>
      <c r="D139"/>
      <c r="E139"/>
      <c r="F139"/>
      <c r="G139"/>
      <c r="H139"/>
      <c r="I139"/>
      <c r="J139"/>
      <c r="K139"/>
      <c r="L139"/>
      <c r="M139"/>
    </row>
    <row r="140" spans="3:13" x14ac:dyDescent="0.25">
      <c r="C140"/>
      <c r="D140"/>
      <c r="E140"/>
      <c r="F140"/>
      <c r="G140"/>
      <c r="H140"/>
      <c r="I140"/>
      <c r="J140"/>
      <c r="K140"/>
      <c r="L140"/>
      <c r="M140"/>
    </row>
    <row r="141" spans="3:13" x14ac:dyDescent="0.25">
      <c r="C141"/>
      <c r="D141"/>
      <c r="E141"/>
      <c r="F141"/>
      <c r="G141"/>
      <c r="H141"/>
      <c r="I141"/>
      <c r="J141"/>
      <c r="K141"/>
      <c r="L141"/>
      <c r="M141"/>
    </row>
    <row r="142" spans="3:13" x14ac:dyDescent="0.25">
      <c r="C142"/>
      <c r="D142"/>
      <c r="E142"/>
      <c r="F142"/>
      <c r="G142"/>
      <c r="H142"/>
      <c r="I142"/>
      <c r="J142"/>
      <c r="K142"/>
      <c r="L142"/>
      <c r="M142"/>
    </row>
    <row r="143" spans="3:13" x14ac:dyDescent="0.25">
      <c r="C143"/>
      <c r="D143"/>
      <c r="E143"/>
      <c r="F143"/>
      <c r="G143"/>
      <c r="H143"/>
      <c r="I143"/>
      <c r="J143"/>
      <c r="K143"/>
      <c r="L143"/>
      <c r="M143"/>
    </row>
    <row r="144" spans="3:13" x14ac:dyDescent="0.25">
      <c r="C144"/>
      <c r="D144"/>
      <c r="E144"/>
      <c r="F144"/>
      <c r="G144"/>
      <c r="H144"/>
      <c r="I144"/>
      <c r="J144"/>
      <c r="K144"/>
      <c r="L144"/>
      <c r="M144"/>
    </row>
    <row r="145" spans="3:13" x14ac:dyDescent="0.25">
      <c r="C145"/>
      <c r="D145"/>
      <c r="E145"/>
      <c r="F145"/>
      <c r="G145"/>
      <c r="H145"/>
      <c r="I145"/>
      <c r="J145"/>
      <c r="K145"/>
      <c r="L145"/>
      <c r="M145"/>
    </row>
    <row r="146" spans="3:13" x14ac:dyDescent="0.25">
      <c r="C146"/>
      <c r="D146"/>
      <c r="E146"/>
      <c r="F146"/>
      <c r="G146"/>
      <c r="H146"/>
      <c r="I146"/>
      <c r="J146"/>
      <c r="K146"/>
      <c r="L146"/>
      <c r="M146"/>
    </row>
    <row r="147" spans="3:13" x14ac:dyDescent="0.25">
      <c r="C147"/>
      <c r="D147"/>
      <c r="E147"/>
      <c r="F147"/>
      <c r="G147"/>
      <c r="H147"/>
      <c r="I147"/>
      <c r="J147"/>
      <c r="K147"/>
      <c r="L147"/>
      <c r="M147"/>
    </row>
    <row r="148" spans="3:13" x14ac:dyDescent="0.25">
      <c r="C148"/>
      <c r="D148"/>
      <c r="E148"/>
      <c r="F148"/>
      <c r="G148"/>
      <c r="H148"/>
      <c r="I148"/>
      <c r="J148"/>
      <c r="K148"/>
      <c r="L148"/>
      <c r="M148"/>
    </row>
    <row r="149" spans="3:13" x14ac:dyDescent="0.25">
      <c r="C149"/>
      <c r="D149"/>
      <c r="E149"/>
      <c r="F149"/>
      <c r="G149"/>
      <c r="H149"/>
      <c r="I149"/>
      <c r="J149"/>
      <c r="K149"/>
      <c r="L149"/>
      <c r="M149"/>
    </row>
    <row r="150" spans="3:13" x14ac:dyDescent="0.25">
      <c r="C150"/>
      <c r="D150"/>
      <c r="E150"/>
      <c r="F150"/>
      <c r="G150"/>
      <c r="H150"/>
      <c r="I150"/>
      <c r="J150"/>
      <c r="K150"/>
      <c r="L150"/>
      <c r="M150"/>
    </row>
    <row r="151" spans="3:13" x14ac:dyDescent="0.25">
      <c r="C151"/>
      <c r="D151"/>
      <c r="E151"/>
      <c r="F151"/>
      <c r="G151"/>
      <c r="H151"/>
      <c r="I151"/>
      <c r="J151"/>
      <c r="K151"/>
      <c r="L151"/>
      <c r="M151"/>
    </row>
    <row r="152" spans="3:13" x14ac:dyDescent="0.25">
      <c r="C152"/>
      <c r="D152"/>
      <c r="E152"/>
      <c r="F152"/>
      <c r="G152"/>
      <c r="H152"/>
      <c r="I152"/>
      <c r="J152"/>
      <c r="K152"/>
      <c r="L152"/>
      <c r="M152"/>
    </row>
    <row r="153" spans="3:13" x14ac:dyDescent="0.25">
      <c r="C153"/>
      <c r="D153"/>
      <c r="E153"/>
      <c r="F153"/>
      <c r="G153"/>
      <c r="H153"/>
      <c r="I153"/>
      <c r="J153"/>
      <c r="K153"/>
      <c r="L153"/>
      <c r="M153"/>
    </row>
    <row r="154" spans="3:13" x14ac:dyDescent="0.25">
      <c r="C154"/>
      <c r="D154"/>
      <c r="E154"/>
      <c r="F154"/>
      <c r="G154"/>
      <c r="H154"/>
      <c r="I154"/>
      <c r="J154"/>
      <c r="K154"/>
      <c r="L154"/>
      <c r="M154"/>
    </row>
    <row r="155" spans="3:13" x14ac:dyDescent="0.25">
      <c r="C155"/>
      <c r="D155"/>
      <c r="E155"/>
      <c r="F155"/>
      <c r="G155"/>
      <c r="H155"/>
      <c r="I155"/>
      <c r="J155"/>
      <c r="K155"/>
      <c r="L155"/>
      <c r="M155"/>
    </row>
    <row r="156" spans="3:13" x14ac:dyDescent="0.25">
      <c r="C156"/>
      <c r="D156"/>
      <c r="E156"/>
      <c r="F156"/>
      <c r="G156"/>
      <c r="H156"/>
      <c r="I156"/>
      <c r="J156"/>
      <c r="K156"/>
      <c r="L156"/>
      <c r="M156"/>
    </row>
    <row r="157" spans="3:13" x14ac:dyDescent="0.25">
      <c r="C157"/>
      <c r="D157"/>
      <c r="E157"/>
      <c r="F157"/>
      <c r="G157"/>
      <c r="H157"/>
      <c r="I157"/>
      <c r="J157"/>
      <c r="K157"/>
      <c r="L157"/>
      <c r="M157"/>
    </row>
    <row r="158" spans="3:13" x14ac:dyDescent="0.25">
      <c r="C158"/>
      <c r="D158"/>
      <c r="E158"/>
      <c r="F158"/>
      <c r="G158"/>
      <c r="H158"/>
      <c r="I158"/>
      <c r="J158"/>
      <c r="K158"/>
      <c r="L158"/>
      <c r="M158"/>
    </row>
    <row r="159" spans="3:13" x14ac:dyDescent="0.25">
      <c r="C159"/>
      <c r="D159"/>
      <c r="E159"/>
      <c r="F159"/>
      <c r="G159"/>
      <c r="H159"/>
      <c r="I159"/>
      <c r="J159"/>
      <c r="K159"/>
      <c r="L159"/>
      <c r="M159"/>
    </row>
    <row r="160" spans="3:13" x14ac:dyDescent="0.25">
      <c r="C160"/>
      <c r="D160"/>
      <c r="E160"/>
      <c r="F160"/>
      <c r="G160"/>
      <c r="H160"/>
      <c r="I160"/>
      <c r="J160"/>
      <c r="K160"/>
      <c r="L160"/>
      <c r="M160"/>
    </row>
    <row r="161" spans="3:13" x14ac:dyDescent="0.25">
      <c r="C161"/>
      <c r="D161"/>
      <c r="E161"/>
      <c r="F161"/>
      <c r="G161"/>
      <c r="H161"/>
      <c r="I161"/>
      <c r="J161"/>
      <c r="K161"/>
      <c r="L161"/>
      <c r="M161"/>
    </row>
    <row r="162" spans="3:13" x14ac:dyDescent="0.25">
      <c r="C162"/>
      <c r="D162"/>
      <c r="E162"/>
      <c r="F162"/>
      <c r="G162"/>
      <c r="H162"/>
      <c r="I162"/>
      <c r="J162"/>
      <c r="K162"/>
      <c r="L162"/>
      <c r="M162"/>
    </row>
    <row r="163" spans="3:13" x14ac:dyDescent="0.25">
      <c r="C163"/>
      <c r="D163"/>
      <c r="E163"/>
      <c r="F163"/>
      <c r="G163"/>
      <c r="H163"/>
      <c r="I163"/>
      <c r="J163"/>
      <c r="K163"/>
      <c r="L163"/>
      <c r="M163"/>
    </row>
    <row r="164" spans="3:13" x14ac:dyDescent="0.25">
      <c r="C164"/>
      <c r="D164"/>
      <c r="E164"/>
      <c r="F164"/>
      <c r="G164"/>
      <c r="H164"/>
      <c r="I164"/>
      <c r="J164"/>
      <c r="K164"/>
      <c r="L164"/>
      <c r="M164"/>
    </row>
    <row r="165" spans="3:13" x14ac:dyDescent="0.25">
      <c r="C165"/>
      <c r="D165"/>
      <c r="E165"/>
      <c r="F165"/>
      <c r="G165"/>
      <c r="H165"/>
      <c r="I165"/>
      <c r="J165"/>
      <c r="K165"/>
      <c r="L165"/>
      <c r="M165"/>
    </row>
    <row r="166" spans="3:13" x14ac:dyDescent="0.25">
      <c r="C166"/>
      <c r="D166"/>
      <c r="E166"/>
      <c r="F166"/>
      <c r="G166"/>
      <c r="H166"/>
      <c r="I166"/>
      <c r="J166"/>
      <c r="K166"/>
      <c r="L166"/>
      <c r="M166"/>
    </row>
    <row r="167" spans="3:13" x14ac:dyDescent="0.25">
      <c r="C167"/>
      <c r="D167"/>
      <c r="E167"/>
      <c r="F167"/>
      <c r="G167"/>
      <c r="H167"/>
      <c r="I167"/>
      <c r="J167"/>
      <c r="K167"/>
      <c r="L167"/>
      <c r="M167"/>
    </row>
    <row r="168" spans="3:13" x14ac:dyDescent="0.25">
      <c r="C168"/>
      <c r="D168"/>
      <c r="E168"/>
      <c r="F168"/>
      <c r="G168"/>
      <c r="H168"/>
      <c r="I168"/>
      <c r="J168"/>
      <c r="K168"/>
      <c r="L168"/>
      <c r="M168"/>
    </row>
    <row r="169" spans="3:13" x14ac:dyDescent="0.25">
      <c r="C169"/>
      <c r="D169"/>
      <c r="E169"/>
      <c r="F169"/>
      <c r="G169"/>
      <c r="H169"/>
      <c r="I169"/>
      <c r="J169"/>
      <c r="K169"/>
      <c r="L169"/>
      <c r="M169"/>
    </row>
    <row r="170" spans="3:13" x14ac:dyDescent="0.25">
      <c r="C170"/>
      <c r="D170"/>
      <c r="E170"/>
      <c r="F170"/>
      <c r="G170"/>
      <c r="H170"/>
      <c r="I170"/>
      <c r="J170"/>
      <c r="K170"/>
      <c r="L170"/>
      <c r="M170"/>
    </row>
    <row r="171" spans="3:13" x14ac:dyDescent="0.25">
      <c r="C171"/>
      <c r="D171"/>
      <c r="E171"/>
      <c r="F171"/>
      <c r="G171"/>
      <c r="H171"/>
      <c r="I171"/>
      <c r="J171"/>
      <c r="K171"/>
      <c r="L171"/>
      <c r="M171"/>
    </row>
    <row r="172" spans="3:13" x14ac:dyDescent="0.25">
      <c r="C172"/>
      <c r="D172"/>
      <c r="E172"/>
      <c r="F172"/>
      <c r="G172"/>
      <c r="H172"/>
      <c r="I172"/>
      <c r="J172"/>
      <c r="K172"/>
      <c r="L172"/>
      <c r="M172"/>
    </row>
    <row r="173" spans="3:13" x14ac:dyDescent="0.25">
      <c r="C173"/>
      <c r="D173"/>
      <c r="E173"/>
      <c r="F173"/>
      <c r="G173"/>
      <c r="H173"/>
      <c r="I173"/>
      <c r="J173"/>
      <c r="K173"/>
      <c r="L173"/>
      <c r="M173"/>
    </row>
    <row r="174" spans="3:13" x14ac:dyDescent="0.25">
      <c r="C174"/>
      <c r="D174"/>
      <c r="E174"/>
      <c r="F174"/>
      <c r="G174"/>
      <c r="H174"/>
      <c r="I174"/>
      <c r="J174"/>
      <c r="K174"/>
      <c r="L174"/>
      <c r="M174"/>
    </row>
    <row r="175" spans="3:13" x14ac:dyDescent="0.25">
      <c r="C175"/>
      <c r="D175"/>
      <c r="E175"/>
      <c r="F175"/>
      <c r="G175"/>
      <c r="H175"/>
      <c r="I175"/>
      <c r="J175"/>
      <c r="K175"/>
      <c r="L175"/>
      <c r="M175"/>
    </row>
    <row r="176" spans="3:13" x14ac:dyDescent="0.25">
      <c r="C176"/>
      <c r="D176"/>
      <c r="E176"/>
      <c r="F176"/>
      <c r="G176"/>
      <c r="H176"/>
      <c r="I176"/>
      <c r="J176"/>
      <c r="K176"/>
      <c r="L176"/>
      <c r="M176"/>
    </row>
    <row r="177" spans="3:13" x14ac:dyDescent="0.25">
      <c r="C177"/>
      <c r="D177"/>
      <c r="E177"/>
      <c r="F177"/>
      <c r="G177"/>
      <c r="H177"/>
      <c r="I177"/>
      <c r="J177"/>
      <c r="K177"/>
      <c r="L177"/>
      <c r="M177"/>
    </row>
    <row r="178" spans="3:13" x14ac:dyDescent="0.25">
      <c r="C178"/>
      <c r="D178"/>
      <c r="E178"/>
      <c r="F178"/>
      <c r="G178"/>
      <c r="H178"/>
      <c r="I178"/>
      <c r="J178"/>
      <c r="K178"/>
      <c r="L178"/>
      <c r="M178"/>
    </row>
    <row r="179" spans="3:13" x14ac:dyDescent="0.25">
      <c r="C179"/>
      <c r="D179"/>
      <c r="E179"/>
      <c r="F179"/>
      <c r="G179"/>
      <c r="H179"/>
      <c r="I179"/>
      <c r="J179"/>
      <c r="K179"/>
      <c r="L179"/>
      <c r="M179"/>
    </row>
    <row r="180" spans="3:13" x14ac:dyDescent="0.25">
      <c r="C180"/>
      <c r="D180"/>
      <c r="E180"/>
      <c r="F180"/>
      <c r="G180"/>
      <c r="H180"/>
      <c r="I180"/>
      <c r="J180"/>
      <c r="K180"/>
      <c r="L180"/>
      <c r="M180"/>
    </row>
    <row r="181" spans="3:13" x14ac:dyDescent="0.25">
      <c r="C181"/>
      <c r="D181"/>
      <c r="E181"/>
      <c r="F181"/>
      <c r="G181"/>
      <c r="H181"/>
      <c r="I181"/>
      <c r="J181"/>
      <c r="K181"/>
      <c r="L181"/>
      <c r="M181"/>
    </row>
    <row r="182" spans="3:13" x14ac:dyDescent="0.25">
      <c r="C182"/>
      <c r="D182"/>
      <c r="E182"/>
      <c r="F182"/>
      <c r="G182"/>
      <c r="H182"/>
      <c r="I182"/>
      <c r="J182"/>
      <c r="K182"/>
      <c r="L182"/>
      <c r="M182"/>
    </row>
    <row r="183" spans="3:13" x14ac:dyDescent="0.25">
      <c r="C183"/>
      <c r="D183"/>
      <c r="E183"/>
      <c r="F183"/>
      <c r="G183"/>
      <c r="H183"/>
      <c r="I183"/>
      <c r="J183"/>
      <c r="K183"/>
      <c r="L183"/>
      <c r="M183"/>
    </row>
    <row r="184" spans="3:13" x14ac:dyDescent="0.25">
      <c r="C184"/>
      <c r="D184"/>
      <c r="E184"/>
      <c r="F184"/>
      <c r="G184"/>
      <c r="H184"/>
      <c r="I184"/>
      <c r="J184"/>
      <c r="K184"/>
      <c r="L184"/>
      <c r="M184"/>
    </row>
    <row r="185" spans="3:13" x14ac:dyDescent="0.25">
      <c r="C185"/>
      <c r="D185"/>
      <c r="E185"/>
      <c r="F185"/>
      <c r="G185"/>
      <c r="H185"/>
      <c r="I185"/>
      <c r="J185"/>
      <c r="K185"/>
      <c r="L185"/>
      <c r="M185"/>
    </row>
    <row r="186" spans="3:13" x14ac:dyDescent="0.25">
      <c r="C186"/>
      <c r="D186"/>
      <c r="E186"/>
      <c r="F186"/>
      <c r="G186"/>
      <c r="H186"/>
      <c r="I186"/>
      <c r="J186"/>
      <c r="K186"/>
      <c r="L186"/>
      <c r="M186"/>
    </row>
    <row r="187" spans="3:13" x14ac:dyDescent="0.25">
      <c r="C187"/>
      <c r="D187"/>
      <c r="E187"/>
      <c r="F187"/>
      <c r="G187"/>
      <c r="H187"/>
      <c r="I187"/>
      <c r="J187"/>
      <c r="K187"/>
      <c r="L187"/>
      <c r="M187"/>
    </row>
    <row r="188" spans="3:13" x14ac:dyDescent="0.25">
      <c r="C188"/>
      <c r="D188"/>
      <c r="E188"/>
      <c r="F188"/>
      <c r="G188"/>
      <c r="H188"/>
      <c r="I188"/>
      <c r="J188"/>
      <c r="K188"/>
      <c r="L188"/>
      <c r="M188"/>
    </row>
    <row r="189" spans="3:13" x14ac:dyDescent="0.25">
      <c r="C189"/>
      <c r="D189"/>
      <c r="E189"/>
      <c r="F189"/>
      <c r="G189"/>
      <c r="H189"/>
      <c r="I189"/>
      <c r="J189"/>
      <c r="K189"/>
      <c r="L189"/>
      <c r="M189"/>
    </row>
    <row r="190" spans="3:13" x14ac:dyDescent="0.25">
      <c r="C190"/>
      <c r="D190"/>
      <c r="E190"/>
      <c r="F190"/>
      <c r="G190"/>
      <c r="H190"/>
      <c r="I190"/>
      <c r="J190"/>
      <c r="K190"/>
      <c r="L190"/>
      <c r="M190"/>
    </row>
    <row r="191" spans="3:13" x14ac:dyDescent="0.25">
      <c r="C191"/>
      <c r="D191"/>
      <c r="E191"/>
      <c r="F191"/>
      <c r="G191"/>
      <c r="H191"/>
      <c r="I191"/>
      <c r="J191"/>
      <c r="K191"/>
      <c r="L191"/>
      <c r="M191"/>
    </row>
    <row r="192" spans="3:13" x14ac:dyDescent="0.25">
      <c r="C192"/>
      <c r="D192"/>
      <c r="E192"/>
      <c r="F192"/>
      <c r="G192"/>
      <c r="H192"/>
      <c r="I192"/>
      <c r="J192"/>
      <c r="K192"/>
      <c r="L192"/>
      <c r="M192"/>
    </row>
    <row r="193" spans="3:13" x14ac:dyDescent="0.25">
      <c r="C193"/>
      <c r="D193"/>
      <c r="E193"/>
      <c r="F193"/>
      <c r="G193"/>
      <c r="H193"/>
      <c r="I193"/>
      <c r="J193"/>
      <c r="K193"/>
      <c r="L193"/>
      <c r="M193"/>
    </row>
    <row r="194" spans="3:13" x14ac:dyDescent="0.25">
      <c r="C194"/>
      <c r="D194"/>
      <c r="E194"/>
      <c r="F194"/>
      <c r="G194"/>
      <c r="H194"/>
      <c r="I194"/>
      <c r="J194"/>
      <c r="K194"/>
      <c r="L194"/>
      <c r="M194"/>
    </row>
    <row r="195" spans="3:13" x14ac:dyDescent="0.25">
      <c r="C195"/>
      <c r="D195"/>
      <c r="E195"/>
      <c r="F195"/>
      <c r="G195"/>
      <c r="H195"/>
      <c r="I195"/>
      <c r="J195"/>
      <c r="K195"/>
      <c r="L195"/>
      <c r="M195"/>
    </row>
    <row r="196" spans="3:13" x14ac:dyDescent="0.25">
      <c r="C196"/>
      <c r="D196"/>
      <c r="E196"/>
      <c r="F196"/>
      <c r="G196"/>
      <c r="H196"/>
      <c r="I196"/>
      <c r="J196"/>
      <c r="K196"/>
      <c r="L196"/>
      <c r="M196"/>
    </row>
    <row r="197" spans="3:13" x14ac:dyDescent="0.25">
      <c r="C197"/>
      <c r="D197"/>
      <c r="E197"/>
      <c r="F197"/>
      <c r="G197"/>
      <c r="H197"/>
      <c r="I197"/>
      <c r="J197"/>
      <c r="K197"/>
      <c r="L197"/>
      <c r="M197"/>
    </row>
    <row r="198" spans="3:13" x14ac:dyDescent="0.25">
      <c r="C198"/>
      <c r="D198"/>
      <c r="E198"/>
      <c r="F198"/>
      <c r="G198"/>
      <c r="H198"/>
      <c r="I198"/>
      <c r="J198"/>
      <c r="K198"/>
      <c r="L198"/>
      <c r="M198"/>
    </row>
    <row r="199" spans="3:13" x14ac:dyDescent="0.25">
      <c r="C199"/>
      <c r="D199"/>
      <c r="E199"/>
      <c r="F199"/>
      <c r="G199"/>
      <c r="H199"/>
      <c r="I199"/>
      <c r="J199"/>
      <c r="K199"/>
      <c r="L199"/>
      <c r="M199"/>
    </row>
    <row r="200" spans="3:13" x14ac:dyDescent="0.25">
      <c r="C200"/>
      <c r="D200"/>
      <c r="E200"/>
      <c r="F200"/>
      <c r="G200"/>
      <c r="H200"/>
      <c r="I200"/>
      <c r="J200"/>
      <c r="K200"/>
      <c r="L200"/>
      <c r="M200"/>
    </row>
    <row r="201" spans="3:13" x14ac:dyDescent="0.25">
      <c r="C201"/>
      <c r="D201"/>
      <c r="E201"/>
      <c r="F201"/>
      <c r="G201"/>
      <c r="H201"/>
      <c r="I201"/>
      <c r="J201"/>
      <c r="K201"/>
      <c r="L201"/>
      <c r="M201"/>
    </row>
    <row r="202" spans="3:13" x14ac:dyDescent="0.25">
      <c r="C202"/>
      <c r="D202"/>
      <c r="E202"/>
      <c r="F202"/>
      <c r="G202"/>
      <c r="H202"/>
      <c r="I202"/>
      <c r="J202"/>
      <c r="K202"/>
      <c r="L202"/>
      <c r="M202"/>
    </row>
    <row r="203" spans="3:13" x14ac:dyDescent="0.25">
      <c r="C203"/>
      <c r="D203"/>
      <c r="E203"/>
      <c r="F203"/>
      <c r="G203"/>
      <c r="H203"/>
      <c r="I203"/>
      <c r="J203"/>
      <c r="K203"/>
      <c r="L203"/>
      <c r="M203"/>
    </row>
    <row r="204" spans="3:13" x14ac:dyDescent="0.25">
      <c r="C204"/>
      <c r="D204"/>
      <c r="E204"/>
      <c r="F204"/>
      <c r="G204"/>
      <c r="H204"/>
      <c r="I204"/>
      <c r="J204"/>
      <c r="K204"/>
      <c r="L204"/>
      <c r="M204"/>
    </row>
    <row r="205" spans="3:13" x14ac:dyDescent="0.25">
      <c r="C205"/>
      <c r="D205"/>
      <c r="E205"/>
      <c r="F205"/>
      <c r="G205"/>
      <c r="H205"/>
      <c r="I205"/>
      <c r="J205"/>
      <c r="K205"/>
      <c r="L205"/>
      <c r="M205"/>
    </row>
    <row r="206" spans="3:13" x14ac:dyDescent="0.25">
      <c r="C206"/>
      <c r="D206"/>
      <c r="E206"/>
      <c r="F206"/>
      <c r="G206"/>
      <c r="H206"/>
      <c r="I206"/>
      <c r="J206"/>
      <c r="K206"/>
      <c r="L206"/>
      <c r="M206"/>
    </row>
    <row r="207" spans="3:13" x14ac:dyDescent="0.25">
      <c r="C207"/>
      <c r="D207"/>
      <c r="E207"/>
      <c r="F207"/>
      <c r="G207"/>
      <c r="H207"/>
      <c r="I207"/>
      <c r="J207"/>
      <c r="K207"/>
      <c r="L207"/>
      <c r="M207"/>
    </row>
    <row r="208" spans="3:13" x14ac:dyDescent="0.25">
      <c r="C208"/>
      <c r="D208"/>
      <c r="E208"/>
      <c r="F208"/>
      <c r="G208"/>
      <c r="H208"/>
      <c r="I208"/>
      <c r="J208"/>
      <c r="K208"/>
      <c r="L208"/>
      <c r="M208"/>
    </row>
    <row r="209" spans="3:13" x14ac:dyDescent="0.25">
      <c r="C209"/>
      <c r="D209"/>
      <c r="E209"/>
      <c r="F209"/>
      <c r="G209"/>
      <c r="H209"/>
      <c r="I209"/>
      <c r="J209"/>
      <c r="K209"/>
      <c r="L209"/>
      <c r="M209"/>
    </row>
    <row r="210" spans="3:13" x14ac:dyDescent="0.25">
      <c r="C210"/>
      <c r="D210"/>
      <c r="E210"/>
      <c r="F210"/>
      <c r="G210"/>
      <c r="H210"/>
      <c r="I210"/>
      <c r="J210"/>
      <c r="K210"/>
      <c r="L210"/>
      <c r="M210"/>
    </row>
    <row r="211" spans="3:13" x14ac:dyDescent="0.25">
      <c r="C211"/>
      <c r="D211"/>
      <c r="E211"/>
      <c r="F211"/>
      <c r="G211"/>
      <c r="H211"/>
      <c r="I211"/>
      <c r="J211"/>
      <c r="K211"/>
      <c r="L211"/>
      <c r="M211"/>
    </row>
    <row r="212" spans="3:13" x14ac:dyDescent="0.25">
      <c r="C212"/>
      <c r="D212"/>
      <c r="E212"/>
      <c r="F212"/>
      <c r="G212"/>
      <c r="H212"/>
      <c r="I212"/>
      <c r="J212"/>
      <c r="K212"/>
      <c r="L212"/>
      <c r="M212"/>
    </row>
    <row r="213" spans="3:13" x14ac:dyDescent="0.25">
      <c r="C213"/>
      <c r="D213"/>
      <c r="E213"/>
      <c r="F213"/>
      <c r="G213"/>
      <c r="H213"/>
      <c r="I213"/>
      <c r="J213"/>
      <c r="K213"/>
      <c r="L213"/>
      <c r="M213"/>
    </row>
    <row r="214" spans="3:13" x14ac:dyDescent="0.25">
      <c r="C214"/>
      <c r="D214"/>
      <c r="E214"/>
      <c r="F214"/>
      <c r="G214"/>
      <c r="H214"/>
      <c r="I214"/>
      <c r="J214"/>
      <c r="K214"/>
      <c r="L214"/>
      <c r="M214"/>
    </row>
    <row r="215" spans="3:13" x14ac:dyDescent="0.25">
      <c r="C215"/>
      <c r="D215"/>
      <c r="E215"/>
      <c r="F215"/>
      <c r="G215"/>
      <c r="H215"/>
      <c r="I215"/>
      <c r="J215"/>
      <c r="K215"/>
      <c r="L215"/>
      <c r="M215"/>
    </row>
    <row r="216" spans="3:13" x14ac:dyDescent="0.25">
      <c r="C216"/>
      <c r="D216"/>
      <c r="E216"/>
      <c r="F216"/>
      <c r="G216"/>
      <c r="H216"/>
      <c r="I216"/>
      <c r="J216"/>
      <c r="K216"/>
      <c r="L216"/>
      <c r="M216"/>
    </row>
    <row r="217" spans="3:13" x14ac:dyDescent="0.25">
      <c r="C217"/>
      <c r="D217"/>
      <c r="E217"/>
      <c r="F217"/>
      <c r="G217"/>
      <c r="H217"/>
      <c r="I217"/>
      <c r="J217"/>
      <c r="K217"/>
      <c r="L217"/>
      <c r="M217"/>
    </row>
    <row r="218" spans="3:13" x14ac:dyDescent="0.25">
      <c r="C218"/>
      <c r="D218"/>
      <c r="E218"/>
      <c r="F218"/>
      <c r="G218"/>
      <c r="H218"/>
      <c r="I218"/>
      <c r="J218"/>
      <c r="K218"/>
      <c r="L218"/>
      <c r="M218"/>
    </row>
    <row r="219" spans="3:13" x14ac:dyDescent="0.25">
      <c r="C219"/>
      <c r="D219"/>
      <c r="E219"/>
      <c r="F219"/>
      <c r="G219"/>
      <c r="H219"/>
      <c r="I219"/>
      <c r="J219"/>
      <c r="K219"/>
      <c r="L219"/>
      <c r="M219"/>
    </row>
    <row r="220" spans="3:13" x14ac:dyDescent="0.25">
      <c r="C220"/>
      <c r="D220"/>
      <c r="E220"/>
      <c r="F220"/>
      <c r="G220"/>
      <c r="H220"/>
      <c r="I220"/>
      <c r="J220"/>
      <c r="K220"/>
      <c r="L220"/>
      <c r="M220"/>
    </row>
    <row r="221" spans="3:13" x14ac:dyDescent="0.25">
      <c r="C221"/>
      <c r="D221"/>
      <c r="E221"/>
      <c r="F221"/>
      <c r="G221"/>
      <c r="H221"/>
      <c r="I221"/>
      <c r="J221"/>
      <c r="K221"/>
      <c r="L221"/>
      <c r="M221"/>
    </row>
    <row r="222" spans="3:13" x14ac:dyDescent="0.25">
      <c r="C222"/>
      <c r="D222"/>
      <c r="E222"/>
      <c r="F222"/>
      <c r="G222"/>
      <c r="H222"/>
      <c r="I222"/>
      <c r="J222"/>
      <c r="K222"/>
      <c r="L222"/>
      <c r="M222"/>
    </row>
    <row r="223" spans="3:13" x14ac:dyDescent="0.25">
      <c r="C223"/>
      <c r="D223"/>
      <c r="E223"/>
      <c r="F223"/>
      <c r="G223"/>
      <c r="H223"/>
      <c r="I223"/>
      <c r="J223"/>
      <c r="K223"/>
      <c r="L223"/>
      <c r="M223"/>
    </row>
    <row r="224" spans="3:13" x14ac:dyDescent="0.25">
      <c r="C224"/>
      <c r="D224"/>
      <c r="E224"/>
      <c r="F224"/>
      <c r="G224"/>
      <c r="H224"/>
      <c r="I224"/>
      <c r="J224"/>
      <c r="K224"/>
      <c r="L224"/>
      <c r="M224"/>
    </row>
    <row r="225" spans="3:13" x14ac:dyDescent="0.25">
      <c r="C225"/>
      <c r="D225"/>
      <c r="E225"/>
      <c r="F225"/>
      <c r="G225"/>
      <c r="H225"/>
      <c r="I225"/>
      <c r="J225"/>
      <c r="K225"/>
      <c r="L225"/>
      <c r="M225"/>
    </row>
    <row r="226" spans="3:13" x14ac:dyDescent="0.25">
      <c r="C226"/>
      <c r="D226"/>
      <c r="E226"/>
      <c r="F226"/>
      <c r="G226"/>
      <c r="H226"/>
      <c r="I226"/>
      <c r="J226"/>
      <c r="K226"/>
      <c r="L226"/>
      <c r="M226"/>
    </row>
    <row r="227" spans="3:13" x14ac:dyDescent="0.25">
      <c r="C227"/>
      <c r="D227"/>
      <c r="E227"/>
      <c r="F227"/>
      <c r="G227"/>
      <c r="H227"/>
      <c r="I227"/>
      <c r="J227"/>
      <c r="K227"/>
      <c r="L227"/>
      <c r="M227"/>
    </row>
    <row r="228" spans="3:13" x14ac:dyDescent="0.25">
      <c r="C228"/>
      <c r="D228"/>
      <c r="E228"/>
      <c r="F228"/>
      <c r="G228"/>
      <c r="H228"/>
      <c r="I228"/>
      <c r="J228"/>
      <c r="K228"/>
      <c r="L228"/>
      <c r="M228"/>
    </row>
    <row r="229" spans="3:13" x14ac:dyDescent="0.25">
      <c r="C229"/>
      <c r="D229"/>
      <c r="E229"/>
      <c r="F229"/>
      <c r="G229"/>
      <c r="H229"/>
      <c r="I229"/>
      <c r="J229"/>
      <c r="K229"/>
      <c r="L229"/>
      <c r="M229"/>
    </row>
    <row r="230" spans="3:13" x14ac:dyDescent="0.25">
      <c r="C230"/>
      <c r="D230"/>
      <c r="E230"/>
      <c r="F230"/>
      <c r="G230"/>
      <c r="H230"/>
      <c r="I230"/>
      <c r="J230"/>
      <c r="K230"/>
      <c r="L230"/>
      <c r="M230"/>
    </row>
    <row r="231" spans="3:13" x14ac:dyDescent="0.25">
      <c r="C231"/>
      <c r="D231"/>
      <c r="E231"/>
      <c r="F231"/>
      <c r="G231"/>
      <c r="H231"/>
      <c r="I231"/>
      <c r="J231"/>
      <c r="K231"/>
      <c r="L231"/>
      <c r="M231"/>
    </row>
    <row r="232" spans="3:13" x14ac:dyDescent="0.25">
      <c r="C232"/>
      <c r="D232"/>
      <c r="E232"/>
      <c r="F232"/>
      <c r="G232"/>
      <c r="H232"/>
      <c r="I232"/>
      <c r="J232"/>
      <c r="K232"/>
      <c r="L232"/>
      <c r="M232"/>
    </row>
    <row r="233" spans="3:13" x14ac:dyDescent="0.25">
      <c r="C233"/>
      <c r="D233"/>
      <c r="E233"/>
      <c r="F233"/>
      <c r="G233"/>
      <c r="H233"/>
      <c r="I233"/>
      <c r="J233"/>
      <c r="K233"/>
      <c r="L233"/>
      <c r="M233"/>
    </row>
    <row r="234" spans="3:13" x14ac:dyDescent="0.25">
      <c r="C234"/>
      <c r="D234"/>
      <c r="E234"/>
      <c r="F234"/>
      <c r="G234"/>
      <c r="H234"/>
      <c r="I234"/>
      <c r="J234"/>
      <c r="K234"/>
      <c r="L234"/>
      <c r="M234"/>
    </row>
    <row r="235" spans="3:13" x14ac:dyDescent="0.25">
      <c r="C235"/>
      <c r="D235"/>
      <c r="E235"/>
      <c r="F235"/>
      <c r="G235"/>
      <c r="H235"/>
      <c r="I235"/>
      <c r="J235"/>
      <c r="K235"/>
      <c r="L235"/>
      <c r="M235"/>
    </row>
    <row r="236" spans="3:13" x14ac:dyDescent="0.25">
      <c r="C236"/>
      <c r="D236"/>
      <c r="E236"/>
      <c r="F236"/>
      <c r="G236"/>
      <c r="H236"/>
      <c r="I236"/>
      <c r="J236"/>
      <c r="K236"/>
      <c r="L236"/>
      <c r="M236"/>
    </row>
    <row r="237" spans="3:13" x14ac:dyDescent="0.25">
      <c r="C237"/>
      <c r="D237"/>
      <c r="E237"/>
      <c r="F237"/>
      <c r="G237"/>
      <c r="H237"/>
      <c r="I237"/>
      <c r="J237"/>
      <c r="K237"/>
      <c r="L237"/>
      <c r="M237"/>
    </row>
    <row r="238" spans="3:13" x14ac:dyDescent="0.25">
      <c r="C238"/>
      <c r="D238"/>
      <c r="E238"/>
      <c r="F238"/>
      <c r="G238"/>
      <c r="H238"/>
      <c r="I238"/>
      <c r="J238"/>
      <c r="K238"/>
      <c r="L238"/>
      <c r="M238"/>
    </row>
    <row r="239" spans="3:13" x14ac:dyDescent="0.25">
      <c r="C239"/>
      <c r="D239"/>
      <c r="E239"/>
      <c r="F239"/>
      <c r="G239"/>
      <c r="H239"/>
      <c r="I239"/>
      <c r="J239"/>
      <c r="K239"/>
      <c r="L239"/>
      <c r="M239"/>
    </row>
    <row r="240" spans="3:13" x14ac:dyDescent="0.25">
      <c r="C240"/>
      <c r="D240"/>
      <c r="E240"/>
      <c r="F240"/>
      <c r="G240"/>
      <c r="H240"/>
      <c r="I240"/>
      <c r="J240"/>
      <c r="K240"/>
      <c r="L240"/>
      <c r="M240"/>
    </row>
    <row r="241" spans="3:13" x14ac:dyDescent="0.25">
      <c r="C241"/>
      <c r="D241"/>
      <c r="E241"/>
      <c r="F241"/>
      <c r="G241"/>
      <c r="H241"/>
      <c r="I241"/>
      <c r="J241"/>
      <c r="K241"/>
      <c r="L241"/>
      <c r="M241"/>
    </row>
    <row r="242" spans="3:13" x14ac:dyDescent="0.25">
      <c r="C242"/>
      <c r="D242"/>
      <c r="E242"/>
      <c r="F242"/>
      <c r="G242"/>
      <c r="H242"/>
      <c r="I242"/>
      <c r="J242"/>
      <c r="K242"/>
      <c r="L242"/>
      <c r="M242"/>
    </row>
    <row r="243" spans="3:13" x14ac:dyDescent="0.25">
      <c r="C243"/>
      <c r="D243"/>
      <c r="E243"/>
      <c r="F243"/>
      <c r="G243"/>
      <c r="H243"/>
      <c r="I243"/>
      <c r="J243"/>
      <c r="K243"/>
      <c r="L243"/>
      <c r="M243"/>
    </row>
    <row r="244" spans="3:13" x14ac:dyDescent="0.25">
      <c r="C244"/>
      <c r="D244"/>
      <c r="E244"/>
      <c r="F244"/>
      <c r="G244"/>
      <c r="H244"/>
      <c r="I244"/>
      <c r="J244"/>
      <c r="K244"/>
      <c r="L244"/>
      <c r="M244"/>
    </row>
    <row r="245" spans="3:13" x14ac:dyDescent="0.25">
      <c r="C245"/>
      <c r="D245"/>
      <c r="E245"/>
      <c r="F245"/>
      <c r="G245"/>
      <c r="H245"/>
      <c r="I245"/>
      <c r="J245"/>
      <c r="K245"/>
      <c r="L245"/>
      <c r="M245"/>
    </row>
    <row r="246" spans="3:13" x14ac:dyDescent="0.25">
      <c r="C246"/>
      <c r="D246"/>
      <c r="E246"/>
      <c r="F246"/>
      <c r="G246"/>
      <c r="H246"/>
      <c r="I246"/>
      <c r="J246"/>
      <c r="K246"/>
      <c r="L246"/>
      <c r="M246"/>
    </row>
    <row r="247" spans="3:13" x14ac:dyDescent="0.25">
      <c r="C247"/>
      <c r="D247"/>
      <c r="E247"/>
      <c r="F247"/>
      <c r="G247"/>
      <c r="H247"/>
      <c r="I247"/>
      <c r="J247"/>
      <c r="K247"/>
      <c r="L247"/>
      <c r="M247"/>
    </row>
    <row r="248" spans="3:13" x14ac:dyDescent="0.25">
      <c r="C248"/>
      <c r="D248"/>
      <c r="E248"/>
      <c r="F248"/>
      <c r="G248"/>
      <c r="H248"/>
      <c r="I248"/>
      <c r="J248"/>
      <c r="K248"/>
      <c r="L248"/>
      <c r="M248"/>
    </row>
    <row r="249" spans="3:13" x14ac:dyDescent="0.25">
      <c r="C249"/>
      <c r="D249"/>
      <c r="E249"/>
      <c r="F249"/>
      <c r="G249"/>
      <c r="H249"/>
      <c r="I249"/>
      <c r="J249"/>
      <c r="K249"/>
      <c r="L249"/>
      <c r="M249"/>
    </row>
    <row r="250" spans="3:13" x14ac:dyDescent="0.25">
      <c r="C250"/>
      <c r="D250"/>
      <c r="E250"/>
      <c r="F250"/>
      <c r="G250"/>
      <c r="H250"/>
      <c r="I250"/>
      <c r="J250"/>
      <c r="K250"/>
      <c r="L250"/>
      <c r="M250"/>
    </row>
    <row r="251" spans="3:13" x14ac:dyDescent="0.25">
      <c r="C251"/>
      <c r="D251"/>
      <c r="E251"/>
      <c r="F251"/>
      <c r="G251"/>
      <c r="H251"/>
      <c r="I251"/>
      <c r="J251"/>
      <c r="K251"/>
      <c r="L251"/>
      <c r="M251"/>
    </row>
    <row r="252" spans="3:13" x14ac:dyDescent="0.25">
      <c r="C252"/>
      <c r="D252"/>
      <c r="E252"/>
      <c r="F252"/>
      <c r="G252"/>
      <c r="H252"/>
      <c r="I252"/>
      <c r="J252"/>
      <c r="K252"/>
      <c r="L252"/>
      <c r="M252"/>
    </row>
    <row r="253" spans="3:13" x14ac:dyDescent="0.25">
      <c r="C253"/>
      <c r="D253"/>
      <c r="E253"/>
      <c r="F253"/>
      <c r="G253"/>
      <c r="H253"/>
      <c r="I253"/>
      <c r="J253"/>
      <c r="K253"/>
      <c r="L253"/>
      <c r="M253"/>
    </row>
    <row r="254" spans="3:13" x14ac:dyDescent="0.25">
      <c r="C254"/>
      <c r="D254"/>
      <c r="E254"/>
      <c r="F254"/>
      <c r="G254"/>
      <c r="H254"/>
      <c r="I254"/>
      <c r="J254"/>
      <c r="K254"/>
      <c r="L254"/>
      <c r="M254"/>
    </row>
    <row r="255" spans="3:13" x14ac:dyDescent="0.25">
      <c r="C255"/>
      <c r="D255"/>
      <c r="E255"/>
      <c r="F255"/>
      <c r="G255"/>
      <c r="H255"/>
      <c r="I255"/>
      <c r="J255"/>
      <c r="K255"/>
      <c r="L255"/>
      <c r="M255"/>
    </row>
    <row r="256" spans="3:13" x14ac:dyDescent="0.25">
      <c r="C256"/>
      <c r="D256"/>
      <c r="E256"/>
      <c r="F256"/>
      <c r="G256"/>
      <c r="H256"/>
      <c r="I256"/>
      <c r="J256"/>
      <c r="K256"/>
      <c r="L256"/>
      <c r="M256"/>
    </row>
    <row r="257" spans="3:13" x14ac:dyDescent="0.25">
      <c r="C257"/>
      <c r="D257"/>
      <c r="E257"/>
      <c r="F257"/>
      <c r="G257"/>
      <c r="H257"/>
      <c r="I257"/>
      <c r="J257"/>
      <c r="K257"/>
      <c r="L257"/>
      <c r="M257"/>
    </row>
    <row r="258" spans="3:13" x14ac:dyDescent="0.25">
      <c r="C258"/>
      <c r="D258"/>
      <c r="E258"/>
      <c r="F258"/>
      <c r="G258"/>
      <c r="H258"/>
      <c r="I258"/>
      <c r="J258"/>
      <c r="K258"/>
      <c r="L258"/>
      <c r="M258"/>
    </row>
    <row r="259" spans="3:13" x14ac:dyDescent="0.25">
      <c r="C259"/>
      <c r="D259"/>
      <c r="E259"/>
      <c r="F259"/>
      <c r="G259"/>
      <c r="H259"/>
      <c r="I259"/>
      <c r="J259"/>
      <c r="K259"/>
      <c r="L259"/>
      <c r="M259"/>
    </row>
    <row r="260" spans="3:13" x14ac:dyDescent="0.25">
      <c r="C260"/>
      <c r="D260"/>
      <c r="E260"/>
      <c r="F260"/>
      <c r="G260"/>
      <c r="H260"/>
      <c r="I260"/>
      <c r="J260"/>
      <c r="K260"/>
      <c r="L260"/>
      <c r="M260"/>
    </row>
    <row r="261" spans="3:13" x14ac:dyDescent="0.25">
      <c r="C261"/>
      <c r="D261"/>
      <c r="E261"/>
      <c r="F261"/>
      <c r="G261"/>
      <c r="H261"/>
      <c r="I261"/>
      <c r="J261"/>
      <c r="K261"/>
      <c r="L261"/>
      <c r="M261"/>
    </row>
    <row r="262" spans="3:13" x14ac:dyDescent="0.25">
      <c r="C262"/>
      <c r="D262"/>
      <c r="E262"/>
      <c r="F262"/>
      <c r="G262"/>
      <c r="H262"/>
      <c r="I262"/>
      <c r="J262"/>
      <c r="K262"/>
      <c r="L262"/>
      <c r="M262"/>
    </row>
    <row r="263" spans="3:13" x14ac:dyDescent="0.25">
      <c r="C263"/>
      <c r="D263"/>
      <c r="E263"/>
      <c r="F263"/>
      <c r="G263"/>
      <c r="H263"/>
      <c r="I263"/>
      <c r="J263"/>
      <c r="K263"/>
      <c r="L263"/>
      <c r="M263"/>
    </row>
    <row r="264" spans="3:13" x14ac:dyDescent="0.25">
      <c r="C264"/>
      <c r="D264"/>
      <c r="E264"/>
      <c r="F264"/>
      <c r="G264"/>
      <c r="H264"/>
      <c r="I264"/>
      <c r="J264"/>
      <c r="K264"/>
      <c r="L264"/>
      <c r="M264"/>
    </row>
    <row r="265" spans="3:13" x14ac:dyDescent="0.25">
      <c r="C265"/>
      <c r="D265"/>
      <c r="E265"/>
      <c r="F265"/>
      <c r="G265"/>
      <c r="H265"/>
      <c r="I265"/>
      <c r="J265"/>
      <c r="K265"/>
      <c r="L265"/>
      <c r="M265"/>
    </row>
    <row r="266" spans="3:13" x14ac:dyDescent="0.25">
      <c r="C266"/>
      <c r="D266"/>
      <c r="E266"/>
      <c r="F266"/>
      <c r="G266"/>
      <c r="H266"/>
      <c r="I266"/>
      <c r="J266"/>
      <c r="K266"/>
      <c r="L266"/>
      <c r="M266"/>
    </row>
    <row r="267" spans="3:13" x14ac:dyDescent="0.25">
      <c r="C267"/>
      <c r="D267"/>
      <c r="E267"/>
      <c r="F267"/>
      <c r="G267"/>
      <c r="H267"/>
      <c r="I267"/>
      <c r="J267"/>
      <c r="K267"/>
      <c r="L267"/>
      <c r="M267"/>
    </row>
    <row r="268" spans="3:13" x14ac:dyDescent="0.25">
      <c r="C268"/>
      <c r="D268"/>
      <c r="E268"/>
      <c r="F268"/>
      <c r="G268"/>
      <c r="H268"/>
      <c r="I268"/>
      <c r="J268"/>
      <c r="K268"/>
      <c r="L268"/>
      <c r="M268"/>
    </row>
    <row r="269" spans="3:13" x14ac:dyDescent="0.25">
      <c r="C269"/>
      <c r="D269"/>
      <c r="E269"/>
      <c r="F269"/>
      <c r="G269"/>
      <c r="H269"/>
      <c r="I269"/>
      <c r="J269"/>
      <c r="K269"/>
      <c r="L269"/>
      <c r="M269"/>
    </row>
    <row r="270" spans="3:13" x14ac:dyDescent="0.25">
      <c r="C270"/>
      <c r="D270"/>
      <c r="E270"/>
      <c r="F270"/>
      <c r="G270"/>
      <c r="H270"/>
      <c r="I270"/>
      <c r="J270"/>
      <c r="K270"/>
      <c r="L270"/>
      <c r="M270"/>
    </row>
    <row r="271" spans="3:13" x14ac:dyDescent="0.25">
      <c r="C271"/>
      <c r="D271"/>
      <c r="E271"/>
      <c r="F271"/>
      <c r="G271"/>
      <c r="H271"/>
      <c r="I271"/>
      <c r="J271"/>
      <c r="K271"/>
      <c r="L271"/>
      <c r="M271"/>
    </row>
    <row r="272" spans="3:13" x14ac:dyDescent="0.25">
      <c r="C272"/>
      <c r="D272"/>
      <c r="E272"/>
      <c r="F272"/>
      <c r="G272"/>
      <c r="H272"/>
      <c r="I272"/>
      <c r="J272"/>
      <c r="K272"/>
      <c r="L272"/>
      <c r="M272"/>
    </row>
    <row r="273" spans="3:13" x14ac:dyDescent="0.25">
      <c r="C273"/>
      <c r="D273"/>
      <c r="E273"/>
      <c r="F273"/>
      <c r="G273"/>
      <c r="H273"/>
      <c r="I273"/>
      <c r="J273"/>
      <c r="K273"/>
      <c r="L273"/>
      <c r="M273"/>
    </row>
    <row r="274" spans="3:13" x14ac:dyDescent="0.25">
      <c r="C274"/>
      <c r="D274"/>
      <c r="E274"/>
      <c r="F274"/>
      <c r="G274"/>
      <c r="H274"/>
      <c r="I274"/>
      <c r="J274"/>
      <c r="K274"/>
      <c r="L274"/>
      <c r="M274"/>
    </row>
    <row r="275" spans="3:13" x14ac:dyDescent="0.25">
      <c r="C275"/>
      <c r="D275"/>
      <c r="E275"/>
      <c r="F275"/>
      <c r="G275"/>
      <c r="H275"/>
      <c r="I275"/>
      <c r="J275"/>
      <c r="K275"/>
      <c r="L275"/>
      <c r="M275"/>
    </row>
    <row r="276" spans="3:13" x14ac:dyDescent="0.25">
      <c r="C276"/>
      <c r="D276"/>
      <c r="E276"/>
      <c r="F276"/>
      <c r="G276"/>
      <c r="H276"/>
      <c r="I276"/>
      <c r="J276"/>
      <c r="K276"/>
      <c r="L276"/>
      <c r="M276"/>
    </row>
    <row r="277" spans="3:13" x14ac:dyDescent="0.25">
      <c r="C277"/>
      <c r="D277"/>
      <c r="E277"/>
      <c r="F277"/>
      <c r="G277"/>
      <c r="H277"/>
      <c r="I277"/>
      <c r="J277"/>
      <c r="K277"/>
      <c r="L277"/>
      <c r="M277"/>
    </row>
    <row r="278" spans="3:13" x14ac:dyDescent="0.25">
      <c r="C278"/>
      <c r="D278"/>
      <c r="E278"/>
      <c r="F278"/>
      <c r="G278"/>
      <c r="H278"/>
      <c r="I278"/>
      <c r="J278"/>
      <c r="K278"/>
      <c r="L278"/>
      <c r="M278"/>
    </row>
    <row r="279" spans="3:13" x14ac:dyDescent="0.25">
      <c r="C279"/>
      <c r="D279"/>
      <c r="E279"/>
      <c r="F279"/>
      <c r="G279"/>
      <c r="H279"/>
      <c r="I279"/>
      <c r="J279"/>
      <c r="K279"/>
      <c r="L279"/>
      <c r="M279"/>
    </row>
    <row r="280" spans="3:13" x14ac:dyDescent="0.25">
      <c r="C280"/>
      <c r="D280"/>
      <c r="E280"/>
      <c r="F280"/>
      <c r="G280"/>
      <c r="H280"/>
      <c r="I280"/>
      <c r="J280"/>
      <c r="K280"/>
      <c r="L280"/>
      <c r="M280"/>
    </row>
    <row r="281" spans="3:13" x14ac:dyDescent="0.25">
      <c r="C281"/>
      <c r="D281"/>
      <c r="E281"/>
      <c r="F281"/>
      <c r="G281"/>
      <c r="H281"/>
      <c r="I281"/>
      <c r="J281"/>
      <c r="K281"/>
      <c r="L281"/>
      <c r="M281"/>
    </row>
    <row r="282" spans="3:13" x14ac:dyDescent="0.25">
      <c r="C282"/>
      <c r="D282"/>
      <c r="E282"/>
      <c r="F282"/>
      <c r="G282"/>
      <c r="H282"/>
      <c r="I282"/>
      <c r="J282"/>
      <c r="K282"/>
      <c r="L282"/>
      <c r="M282"/>
    </row>
    <row r="283" spans="3:13" x14ac:dyDescent="0.25">
      <c r="C283"/>
      <c r="D283"/>
      <c r="E283"/>
      <c r="F283"/>
      <c r="G283"/>
      <c r="H283"/>
      <c r="I283"/>
      <c r="J283"/>
      <c r="K283"/>
      <c r="L283"/>
      <c r="M283"/>
    </row>
    <row r="284" spans="3:13" x14ac:dyDescent="0.25">
      <c r="C284"/>
      <c r="D284"/>
      <c r="E284"/>
      <c r="F284"/>
      <c r="G284"/>
      <c r="H284"/>
      <c r="I284"/>
      <c r="J284"/>
      <c r="K284"/>
      <c r="L284"/>
      <c r="M284"/>
    </row>
    <row r="285" spans="3:13" x14ac:dyDescent="0.25">
      <c r="C285"/>
      <c r="D285"/>
      <c r="E285"/>
      <c r="F285"/>
      <c r="G285"/>
      <c r="H285"/>
      <c r="I285"/>
      <c r="J285"/>
      <c r="K285"/>
      <c r="L285"/>
      <c r="M285"/>
    </row>
    <row r="286" spans="3:13" x14ac:dyDescent="0.25">
      <c r="C286"/>
      <c r="D286"/>
      <c r="E286"/>
      <c r="F286"/>
      <c r="G286"/>
      <c r="H286"/>
      <c r="I286"/>
      <c r="J286"/>
      <c r="K286"/>
      <c r="L286"/>
      <c r="M286"/>
    </row>
    <row r="287" spans="3:13" x14ac:dyDescent="0.25">
      <c r="C287"/>
      <c r="D287"/>
      <c r="E287"/>
      <c r="F287"/>
      <c r="G287"/>
      <c r="H287"/>
      <c r="I287"/>
      <c r="J287"/>
      <c r="K287"/>
      <c r="L287"/>
      <c r="M287"/>
    </row>
    <row r="288" spans="3:13" x14ac:dyDescent="0.25">
      <c r="C288"/>
      <c r="D288"/>
      <c r="E288"/>
      <c r="F288"/>
      <c r="G288"/>
      <c r="H288"/>
      <c r="I288"/>
      <c r="J288"/>
      <c r="K288"/>
      <c r="L288"/>
      <c r="M288"/>
    </row>
    <row r="289" spans="3:13" x14ac:dyDescent="0.25">
      <c r="C289"/>
      <c r="D289"/>
      <c r="E289"/>
      <c r="F289"/>
      <c r="G289"/>
      <c r="H289"/>
      <c r="I289"/>
      <c r="J289"/>
      <c r="K289"/>
      <c r="L289"/>
      <c r="M289"/>
    </row>
    <row r="290" spans="3:13" x14ac:dyDescent="0.25">
      <c r="C290"/>
      <c r="D290"/>
      <c r="E290"/>
      <c r="F290"/>
      <c r="G290"/>
      <c r="H290"/>
      <c r="I290"/>
      <c r="J290"/>
      <c r="K290"/>
      <c r="L290"/>
      <c r="M290"/>
    </row>
    <row r="291" spans="3:13" x14ac:dyDescent="0.25">
      <c r="C291"/>
      <c r="D291"/>
      <c r="E291"/>
      <c r="F291"/>
      <c r="G291"/>
      <c r="H291"/>
      <c r="I291"/>
      <c r="J291"/>
      <c r="K291"/>
      <c r="L291"/>
      <c r="M291"/>
    </row>
    <row r="292" spans="3:13" x14ac:dyDescent="0.25">
      <c r="C292"/>
      <c r="D292"/>
      <c r="E292"/>
      <c r="F292"/>
      <c r="G292"/>
      <c r="H292"/>
      <c r="I292"/>
      <c r="J292"/>
      <c r="K292"/>
      <c r="L292"/>
      <c r="M292"/>
    </row>
    <row r="293" spans="3:13" x14ac:dyDescent="0.25">
      <c r="C293"/>
      <c r="D293"/>
      <c r="E293"/>
      <c r="F293"/>
      <c r="G293"/>
      <c r="H293"/>
      <c r="I293"/>
      <c r="J293"/>
      <c r="K293"/>
      <c r="L293"/>
      <c r="M293"/>
    </row>
    <row r="294" spans="3:13" x14ac:dyDescent="0.25">
      <c r="C294"/>
      <c r="D294"/>
      <c r="E294"/>
      <c r="F294"/>
      <c r="G294"/>
      <c r="H294"/>
      <c r="I294"/>
      <c r="J294"/>
      <c r="K294"/>
      <c r="L294"/>
      <c r="M294"/>
    </row>
    <row r="295" spans="3:13" x14ac:dyDescent="0.25">
      <c r="C295"/>
      <c r="D295"/>
      <c r="E295"/>
      <c r="F295"/>
      <c r="G295"/>
      <c r="H295"/>
      <c r="I295"/>
      <c r="J295"/>
      <c r="K295"/>
      <c r="L295"/>
      <c r="M295"/>
    </row>
    <row r="296" spans="3:13" x14ac:dyDescent="0.25">
      <c r="C296"/>
      <c r="D296"/>
      <c r="E296"/>
      <c r="F296"/>
      <c r="G296"/>
      <c r="H296"/>
      <c r="I296"/>
      <c r="J296"/>
      <c r="K296"/>
      <c r="L296"/>
      <c r="M296"/>
    </row>
    <row r="297" spans="3:13" x14ac:dyDescent="0.25">
      <c r="C297"/>
      <c r="D297"/>
      <c r="E297"/>
      <c r="F297"/>
      <c r="G297"/>
      <c r="H297"/>
      <c r="I297"/>
      <c r="J297"/>
      <c r="K297"/>
      <c r="L297"/>
      <c r="M297"/>
    </row>
    <row r="298" spans="3:13" x14ac:dyDescent="0.25">
      <c r="C298"/>
      <c r="D298"/>
      <c r="E298"/>
      <c r="F298"/>
      <c r="G298"/>
      <c r="H298"/>
      <c r="I298"/>
      <c r="J298"/>
      <c r="K298"/>
      <c r="L298"/>
      <c r="M298"/>
    </row>
    <row r="299" spans="3:13" x14ac:dyDescent="0.25">
      <c r="C299"/>
      <c r="D299"/>
      <c r="E299"/>
      <c r="F299"/>
      <c r="G299"/>
      <c r="H299"/>
      <c r="I299"/>
      <c r="J299"/>
      <c r="K299"/>
      <c r="L299"/>
      <c r="M299"/>
    </row>
    <row r="300" spans="3:13" x14ac:dyDescent="0.25">
      <c r="C300"/>
      <c r="D300"/>
      <c r="E300"/>
      <c r="F300"/>
      <c r="G300"/>
      <c r="H300"/>
      <c r="I300"/>
      <c r="J300"/>
      <c r="K300"/>
      <c r="L300"/>
      <c r="M300"/>
    </row>
    <row r="301" spans="3:13" x14ac:dyDescent="0.25">
      <c r="C301"/>
      <c r="D301"/>
      <c r="E301"/>
      <c r="F301"/>
      <c r="G301"/>
      <c r="H301"/>
      <c r="I301"/>
      <c r="J301"/>
      <c r="K301"/>
      <c r="L301"/>
      <c r="M301"/>
    </row>
    <row r="302" spans="3:13" x14ac:dyDescent="0.25">
      <c r="C302"/>
      <c r="D302"/>
      <c r="E302"/>
      <c r="F302"/>
      <c r="G302"/>
      <c r="H302"/>
      <c r="I302"/>
      <c r="J302"/>
      <c r="K302"/>
      <c r="L302"/>
      <c r="M302"/>
    </row>
    <row r="303" spans="3:13" x14ac:dyDescent="0.25">
      <c r="C303"/>
      <c r="D303"/>
      <c r="E303"/>
      <c r="F303"/>
      <c r="G303"/>
      <c r="H303"/>
      <c r="I303"/>
      <c r="J303"/>
      <c r="K303"/>
      <c r="L303"/>
      <c r="M303"/>
    </row>
    <row r="304" spans="3:13" x14ac:dyDescent="0.25">
      <c r="C304"/>
      <c r="D304"/>
      <c r="E304"/>
      <c r="F304"/>
      <c r="G304"/>
      <c r="H304"/>
      <c r="I304"/>
      <c r="J304"/>
      <c r="K304"/>
      <c r="L304"/>
      <c r="M304"/>
    </row>
    <row r="305" spans="3:13" x14ac:dyDescent="0.25">
      <c r="C305"/>
      <c r="D305"/>
      <c r="E305"/>
      <c r="F305"/>
      <c r="G305"/>
      <c r="H305"/>
      <c r="I305"/>
      <c r="J305"/>
      <c r="K305"/>
      <c r="L305"/>
      <c r="M305"/>
    </row>
    <row r="306" spans="3:13" x14ac:dyDescent="0.25">
      <c r="C306"/>
      <c r="D306"/>
      <c r="E306"/>
      <c r="F306"/>
      <c r="G306"/>
      <c r="H306"/>
      <c r="I306"/>
      <c r="J306"/>
      <c r="K306"/>
      <c r="L306"/>
      <c r="M306"/>
    </row>
    <row r="307" spans="3:13" x14ac:dyDescent="0.25">
      <c r="C307"/>
      <c r="D307"/>
      <c r="E307"/>
      <c r="F307"/>
      <c r="G307"/>
      <c r="H307"/>
      <c r="I307"/>
      <c r="J307"/>
      <c r="K307"/>
      <c r="L307"/>
      <c r="M307"/>
    </row>
    <row r="308" spans="3:13" x14ac:dyDescent="0.25">
      <c r="C308"/>
      <c r="D308"/>
      <c r="E308"/>
      <c r="F308"/>
      <c r="G308"/>
      <c r="H308"/>
      <c r="I308"/>
      <c r="J308"/>
      <c r="K308"/>
      <c r="L308"/>
      <c r="M308"/>
    </row>
    <row r="309" spans="3:13" x14ac:dyDescent="0.25">
      <c r="C309"/>
      <c r="D309"/>
      <c r="E309"/>
      <c r="F309"/>
      <c r="G309"/>
      <c r="H309"/>
      <c r="I309"/>
      <c r="J309"/>
      <c r="K309"/>
      <c r="L309"/>
      <c r="M309"/>
    </row>
    <row r="310" spans="3:13" x14ac:dyDescent="0.25">
      <c r="C310"/>
      <c r="D310"/>
      <c r="E310"/>
      <c r="F310"/>
      <c r="G310"/>
      <c r="H310"/>
      <c r="I310"/>
      <c r="J310"/>
      <c r="K310"/>
      <c r="L310"/>
      <c r="M310"/>
    </row>
    <row r="311" spans="3:13" x14ac:dyDescent="0.25">
      <c r="C311"/>
      <c r="D311"/>
      <c r="E311"/>
      <c r="F311"/>
      <c r="G311"/>
      <c r="H311"/>
      <c r="I311"/>
      <c r="J311"/>
      <c r="K311"/>
      <c r="L311"/>
      <c r="M311"/>
    </row>
    <row r="312" spans="3:13" x14ac:dyDescent="0.25">
      <c r="C312"/>
      <c r="D312"/>
      <c r="E312"/>
      <c r="F312"/>
      <c r="G312"/>
      <c r="H312"/>
      <c r="I312"/>
      <c r="J312"/>
      <c r="K312"/>
      <c r="L312"/>
      <c r="M312"/>
    </row>
    <row r="313" spans="3:13" x14ac:dyDescent="0.25">
      <c r="C313"/>
      <c r="D313"/>
      <c r="E313"/>
      <c r="F313"/>
      <c r="G313"/>
      <c r="H313"/>
      <c r="I313"/>
      <c r="J313"/>
      <c r="K313"/>
      <c r="L313"/>
      <c r="M313"/>
    </row>
    <row r="314" spans="3:13" x14ac:dyDescent="0.25">
      <c r="C314"/>
      <c r="D314"/>
      <c r="E314"/>
      <c r="F314"/>
      <c r="G314"/>
      <c r="H314"/>
      <c r="I314"/>
      <c r="J314"/>
      <c r="K314"/>
      <c r="L314"/>
      <c r="M314"/>
    </row>
    <row r="315" spans="3:13" x14ac:dyDescent="0.25">
      <c r="C315"/>
      <c r="D315"/>
      <c r="E315"/>
      <c r="F315"/>
      <c r="G315"/>
      <c r="H315"/>
      <c r="I315"/>
      <c r="J315"/>
      <c r="K315"/>
      <c r="L315"/>
      <c r="M315"/>
    </row>
    <row r="316" spans="3:13" x14ac:dyDescent="0.25">
      <c r="C316"/>
      <c r="D316"/>
      <c r="E316"/>
      <c r="F316"/>
      <c r="G316"/>
      <c r="H316"/>
      <c r="I316"/>
      <c r="J316"/>
      <c r="K316"/>
      <c r="L316"/>
      <c r="M316"/>
    </row>
    <row r="317" spans="3:13" x14ac:dyDescent="0.25">
      <c r="C317"/>
      <c r="D317"/>
      <c r="E317"/>
      <c r="F317"/>
      <c r="G317"/>
      <c r="H317"/>
      <c r="I317"/>
      <c r="J317"/>
      <c r="K317"/>
      <c r="L317"/>
      <c r="M317"/>
    </row>
    <row r="318" spans="3:13" x14ac:dyDescent="0.25">
      <c r="C318"/>
      <c r="D318"/>
      <c r="E318"/>
      <c r="F318"/>
      <c r="G318"/>
      <c r="H318"/>
      <c r="I318"/>
      <c r="J318"/>
      <c r="K318"/>
      <c r="L318"/>
      <c r="M318"/>
    </row>
    <row r="319" spans="3:13" x14ac:dyDescent="0.25">
      <c r="C319"/>
      <c r="D319"/>
      <c r="E319"/>
      <c r="F319"/>
      <c r="G319"/>
      <c r="H319"/>
      <c r="I319"/>
      <c r="J319"/>
      <c r="K319"/>
      <c r="L319"/>
      <c r="M319"/>
    </row>
    <row r="320" spans="3:13" x14ac:dyDescent="0.25">
      <c r="C320"/>
      <c r="D320"/>
      <c r="E320"/>
      <c r="F320"/>
      <c r="G320"/>
      <c r="H320"/>
      <c r="I320"/>
      <c r="J320"/>
      <c r="K320"/>
      <c r="L320"/>
      <c r="M320"/>
    </row>
    <row r="321" spans="3:13" x14ac:dyDescent="0.25">
      <c r="C321"/>
      <c r="D321"/>
      <c r="E321"/>
      <c r="F321"/>
      <c r="G321"/>
      <c r="H321"/>
      <c r="I321"/>
      <c r="J321"/>
      <c r="K321"/>
      <c r="L321"/>
      <c r="M321"/>
    </row>
    <row r="322" spans="3:13" x14ac:dyDescent="0.25">
      <c r="C322"/>
      <c r="D322"/>
      <c r="E322"/>
      <c r="F322"/>
      <c r="G322"/>
      <c r="H322"/>
      <c r="I322"/>
      <c r="J322"/>
      <c r="K322"/>
      <c r="L322"/>
      <c r="M322"/>
    </row>
    <row r="323" spans="3:13" x14ac:dyDescent="0.25">
      <c r="C323"/>
      <c r="D323"/>
      <c r="E323"/>
      <c r="F323"/>
      <c r="G323"/>
      <c r="H323"/>
      <c r="I323"/>
      <c r="J323"/>
      <c r="K323"/>
      <c r="L323"/>
      <c r="M323"/>
    </row>
    <row r="324" spans="3:13" x14ac:dyDescent="0.25">
      <c r="C324"/>
      <c r="D324"/>
      <c r="E324"/>
      <c r="F324"/>
      <c r="G324"/>
      <c r="H324"/>
      <c r="I324"/>
      <c r="J324"/>
      <c r="K324"/>
      <c r="L324"/>
      <c r="M324"/>
    </row>
    <row r="325" spans="3:13" x14ac:dyDescent="0.25">
      <c r="C325"/>
      <c r="D325"/>
      <c r="E325"/>
      <c r="F325"/>
      <c r="G325"/>
      <c r="H325"/>
      <c r="I325"/>
      <c r="J325"/>
      <c r="K325"/>
      <c r="L325"/>
      <c r="M325"/>
    </row>
    <row r="326" spans="3:13" x14ac:dyDescent="0.25">
      <c r="C326"/>
      <c r="D326"/>
      <c r="E326"/>
      <c r="F326"/>
      <c r="G326"/>
      <c r="H326"/>
      <c r="I326"/>
      <c r="J326"/>
      <c r="K326"/>
      <c r="L326"/>
      <c r="M326"/>
    </row>
    <row r="327" spans="3:13" x14ac:dyDescent="0.25">
      <c r="C327"/>
      <c r="D327"/>
      <c r="E327"/>
      <c r="F327"/>
      <c r="G327"/>
      <c r="H327"/>
      <c r="I327"/>
      <c r="J327"/>
      <c r="K327"/>
      <c r="L327"/>
      <c r="M327"/>
    </row>
    <row r="328" spans="3:13" x14ac:dyDescent="0.25">
      <c r="C328"/>
      <c r="D328"/>
      <c r="E328"/>
      <c r="F328"/>
      <c r="G328"/>
      <c r="H328"/>
      <c r="I328"/>
      <c r="J328"/>
      <c r="K328"/>
      <c r="L328"/>
      <c r="M328"/>
    </row>
    <row r="329" spans="3:13" x14ac:dyDescent="0.25">
      <c r="C329"/>
      <c r="D329"/>
      <c r="E329"/>
      <c r="F329"/>
      <c r="G329"/>
      <c r="H329"/>
      <c r="I329"/>
      <c r="J329"/>
      <c r="K329"/>
      <c r="L329"/>
      <c r="M329"/>
    </row>
    <row r="330" spans="3:13" x14ac:dyDescent="0.25">
      <c r="C330"/>
      <c r="D330"/>
      <c r="E330"/>
      <c r="F330"/>
      <c r="G330"/>
      <c r="H330"/>
      <c r="I330"/>
      <c r="J330"/>
      <c r="K330"/>
      <c r="L330"/>
      <c r="M330"/>
    </row>
    <row r="331" spans="3:13" x14ac:dyDescent="0.25">
      <c r="C331"/>
      <c r="D331"/>
      <c r="E331"/>
      <c r="F331"/>
      <c r="G331"/>
      <c r="H331"/>
      <c r="I331"/>
      <c r="J331"/>
      <c r="K331"/>
      <c r="L331"/>
      <c r="M331"/>
    </row>
    <row r="332" spans="3:13" x14ac:dyDescent="0.25">
      <c r="C332"/>
      <c r="D332"/>
      <c r="E332"/>
      <c r="F332"/>
      <c r="G332"/>
      <c r="H332"/>
      <c r="I332"/>
      <c r="J332"/>
      <c r="K332"/>
      <c r="L332"/>
      <c r="M332"/>
    </row>
    <row r="333" spans="3:13" x14ac:dyDescent="0.25">
      <c r="C333"/>
      <c r="D333"/>
      <c r="E333"/>
      <c r="F333"/>
      <c r="G333"/>
      <c r="H333"/>
      <c r="I333"/>
      <c r="J333"/>
      <c r="K333"/>
      <c r="L333"/>
      <c r="M333"/>
    </row>
    <row r="334" spans="3:13" x14ac:dyDescent="0.25">
      <c r="C334"/>
      <c r="D334"/>
      <c r="E334"/>
      <c r="F334"/>
      <c r="G334"/>
      <c r="H334"/>
      <c r="I334"/>
      <c r="J334"/>
      <c r="K334"/>
      <c r="L334"/>
      <c r="M334"/>
    </row>
    <row r="335" spans="3:13" x14ac:dyDescent="0.25">
      <c r="C335"/>
      <c r="D335"/>
      <c r="E335"/>
      <c r="F335"/>
      <c r="G335"/>
      <c r="H335"/>
      <c r="I335"/>
      <c r="J335"/>
      <c r="K335"/>
      <c r="L335"/>
      <c r="M335"/>
    </row>
    <row r="336" spans="3:13" x14ac:dyDescent="0.25">
      <c r="C336"/>
      <c r="D336"/>
      <c r="E336"/>
      <c r="F336"/>
      <c r="G336"/>
      <c r="H336"/>
      <c r="I336"/>
      <c r="J336"/>
      <c r="K336"/>
      <c r="L336"/>
      <c r="M336"/>
    </row>
    <row r="337" spans="3:13" x14ac:dyDescent="0.25">
      <c r="C337"/>
      <c r="D337"/>
      <c r="E337"/>
      <c r="F337"/>
      <c r="G337"/>
      <c r="H337"/>
      <c r="I337"/>
      <c r="J337"/>
      <c r="K337"/>
      <c r="L337"/>
      <c r="M337"/>
    </row>
    <row r="338" spans="3:13" x14ac:dyDescent="0.25">
      <c r="C338"/>
      <c r="D338"/>
      <c r="E338"/>
      <c r="F338"/>
      <c r="G338"/>
      <c r="H338"/>
      <c r="I338"/>
      <c r="J338"/>
      <c r="K338"/>
      <c r="L338"/>
      <c r="M338"/>
    </row>
    <row r="339" spans="3:13" x14ac:dyDescent="0.25">
      <c r="C339"/>
      <c r="D339"/>
      <c r="E339"/>
      <c r="F339"/>
      <c r="G339"/>
      <c r="H339"/>
      <c r="I339"/>
      <c r="J339"/>
      <c r="K339"/>
      <c r="L339"/>
      <c r="M339"/>
    </row>
    <row r="340" spans="3:13" x14ac:dyDescent="0.25">
      <c r="C340"/>
      <c r="D340"/>
      <c r="E340"/>
      <c r="F340"/>
      <c r="G340"/>
      <c r="H340"/>
      <c r="I340"/>
      <c r="J340"/>
      <c r="K340"/>
      <c r="L340"/>
      <c r="M340"/>
    </row>
    <row r="341" spans="3:13" x14ac:dyDescent="0.25">
      <c r="C341"/>
      <c r="D341"/>
      <c r="E341"/>
      <c r="F341"/>
      <c r="G341"/>
      <c r="H341"/>
      <c r="I341"/>
      <c r="J341"/>
      <c r="K341"/>
      <c r="L341"/>
      <c r="M341"/>
    </row>
    <row r="342" spans="3:13" x14ac:dyDescent="0.25">
      <c r="C342"/>
      <c r="D342"/>
      <c r="E342"/>
      <c r="F342"/>
      <c r="G342"/>
      <c r="H342"/>
      <c r="I342"/>
      <c r="J342"/>
      <c r="K342"/>
      <c r="L342"/>
      <c r="M342"/>
    </row>
    <row r="343" spans="3:13" x14ac:dyDescent="0.25">
      <c r="C343"/>
      <c r="D343"/>
      <c r="E343"/>
      <c r="F343"/>
      <c r="G343"/>
      <c r="H343"/>
      <c r="I343"/>
      <c r="J343"/>
      <c r="K343"/>
      <c r="L343"/>
      <c r="M343"/>
    </row>
    <row r="344" spans="3:13" x14ac:dyDescent="0.25">
      <c r="C344"/>
      <c r="D344"/>
      <c r="E344"/>
      <c r="F344"/>
      <c r="G344"/>
      <c r="H344"/>
      <c r="I344"/>
      <c r="J344"/>
      <c r="K344"/>
      <c r="L344"/>
      <c r="M344"/>
    </row>
    <row r="345" spans="3:13" x14ac:dyDescent="0.25">
      <c r="C345"/>
      <c r="D345"/>
      <c r="E345"/>
      <c r="F345"/>
      <c r="G345"/>
      <c r="H345"/>
      <c r="I345"/>
      <c r="J345"/>
      <c r="K345"/>
      <c r="L345"/>
      <c r="M345"/>
    </row>
    <row r="346" spans="3:13" x14ac:dyDescent="0.25">
      <c r="C346"/>
      <c r="D346"/>
      <c r="E346"/>
      <c r="F346"/>
      <c r="G346"/>
      <c r="H346"/>
      <c r="I346"/>
      <c r="J346"/>
      <c r="K346"/>
      <c r="L346"/>
      <c r="M346"/>
    </row>
    <row r="347" spans="3:13" x14ac:dyDescent="0.25">
      <c r="C347"/>
      <c r="D347"/>
      <c r="E347"/>
      <c r="F347"/>
      <c r="G347"/>
      <c r="H347"/>
      <c r="I347"/>
      <c r="J347"/>
      <c r="K347"/>
      <c r="L347"/>
      <c r="M347"/>
    </row>
    <row r="348" spans="3:13" x14ac:dyDescent="0.25">
      <c r="C348"/>
      <c r="D348"/>
      <c r="E348"/>
      <c r="F348"/>
      <c r="G348"/>
      <c r="H348"/>
      <c r="I348"/>
      <c r="J348"/>
      <c r="K348"/>
      <c r="L348"/>
      <c r="M348"/>
    </row>
    <row r="349" spans="3:13" x14ac:dyDescent="0.25">
      <c r="C349"/>
      <c r="D349"/>
      <c r="E349"/>
      <c r="F349"/>
      <c r="G349"/>
      <c r="H349"/>
      <c r="I349"/>
      <c r="J349"/>
      <c r="K349"/>
      <c r="L349"/>
      <c r="M349"/>
    </row>
    <row r="350" spans="3:13" x14ac:dyDescent="0.25">
      <c r="C350"/>
      <c r="D350"/>
      <c r="E350"/>
      <c r="F350"/>
      <c r="G350"/>
      <c r="H350"/>
      <c r="I350"/>
      <c r="J350"/>
      <c r="K350"/>
      <c r="L350"/>
      <c r="M350"/>
    </row>
    <row r="351" spans="3:13" x14ac:dyDescent="0.25">
      <c r="C351"/>
      <c r="D351"/>
      <c r="E351"/>
      <c r="F351"/>
      <c r="G351"/>
      <c r="H351"/>
      <c r="I351"/>
      <c r="J351"/>
      <c r="K351"/>
      <c r="L351"/>
      <c r="M351"/>
    </row>
    <row r="352" spans="3:13" x14ac:dyDescent="0.25">
      <c r="C352"/>
      <c r="D352"/>
      <c r="E352"/>
      <c r="F352"/>
      <c r="G352"/>
      <c r="H352"/>
      <c r="I352"/>
      <c r="J352"/>
      <c r="K352"/>
      <c r="L352"/>
      <c r="M352"/>
    </row>
    <row r="353" spans="3:13" x14ac:dyDescent="0.25">
      <c r="C353"/>
      <c r="D353"/>
      <c r="E353"/>
      <c r="F353"/>
      <c r="G353"/>
      <c r="H353"/>
      <c r="I353"/>
      <c r="J353"/>
      <c r="K353"/>
      <c r="L353"/>
      <c r="M353"/>
    </row>
    <row r="354" spans="3:13" x14ac:dyDescent="0.25">
      <c r="C354"/>
      <c r="D354"/>
      <c r="E354"/>
      <c r="F354"/>
      <c r="G354"/>
      <c r="H354"/>
      <c r="I354"/>
      <c r="J354"/>
      <c r="K354"/>
      <c r="L354"/>
      <c r="M354"/>
    </row>
    <row r="355" spans="3:13" x14ac:dyDescent="0.25">
      <c r="C355"/>
      <c r="D355"/>
      <c r="E355"/>
      <c r="F355"/>
      <c r="G355"/>
      <c r="H355"/>
      <c r="I355"/>
      <c r="J355"/>
      <c r="K355"/>
      <c r="L355"/>
      <c r="M355"/>
    </row>
    <row r="356" spans="3:13" x14ac:dyDescent="0.25">
      <c r="C356"/>
      <c r="D356"/>
      <c r="E356"/>
      <c r="F356"/>
      <c r="G356"/>
      <c r="H356"/>
      <c r="I356"/>
      <c r="J356"/>
      <c r="K356"/>
      <c r="L356"/>
      <c r="M356"/>
    </row>
    <row r="357" spans="3:13" x14ac:dyDescent="0.25">
      <c r="C357"/>
      <c r="D357"/>
      <c r="E357"/>
      <c r="F357"/>
      <c r="G357"/>
      <c r="H357"/>
      <c r="I357"/>
      <c r="J357"/>
      <c r="K357"/>
      <c r="L357"/>
      <c r="M357"/>
    </row>
    <row r="358" spans="3:13" x14ac:dyDescent="0.25">
      <c r="C358"/>
      <c r="D358"/>
      <c r="E358"/>
      <c r="F358"/>
      <c r="G358"/>
      <c r="H358"/>
      <c r="I358"/>
      <c r="J358"/>
      <c r="K358"/>
      <c r="L358"/>
      <c r="M358"/>
    </row>
    <row r="359" spans="3:13" x14ac:dyDescent="0.25">
      <c r="C359"/>
      <c r="D359"/>
      <c r="E359"/>
      <c r="F359"/>
      <c r="G359"/>
      <c r="H359"/>
      <c r="I359"/>
      <c r="J359"/>
      <c r="K359"/>
      <c r="L359"/>
      <c r="M359"/>
    </row>
    <row r="360" spans="3:13" x14ac:dyDescent="0.25">
      <c r="C360"/>
      <c r="D360"/>
      <c r="E360"/>
      <c r="F360"/>
      <c r="G360"/>
      <c r="H360"/>
      <c r="I360"/>
      <c r="J360"/>
      <c r="K360"/>
      <c r="L360"/>
      <c r="M360"/>
    </row>
    <row r="361" spans="3:13" x14ac:dyDescent="0.25">
      <c r="C361"/>
      <c r="D361"/>
      <c r="E361"/>
      <c r="F361"/>
      <c r="G361"/>
      <c r="H361"/>
      <c r="I361"/>
      <c r="J361"/>
      <c r="K361"/>
      <c r="L361"/>
      <c r="M361"/>
    </row>
    <row r="362" spans="3:13" x14ac:dyDescent="0.25">
      <c r="C362"/>
      <c r="D362"/>
      <c r="E362"/>
      <c r="F362"/>
      <c r="G362"/>
      <c r="H362"/>
      <c r="I362"/>
      <c r="J362"/>
      <c r="K362"/>
      <c r="L362"/>
      <c r="M362"/>
    </row>
    <row r="363" spans="3:13" x14ac:dyDescent="0.25">
      <c r="C363"/>
      <c r="D363"/>
      <c r="E363"/>
      <c r="F363"/>
      <c r="G363"/>
      <c r="H363"/>
      <c r="I363"/>
      <c r="J363"/>
      <c r="K363"/>
      <c r="L363"/>
      <c r="M363"/>
    </row>
    <row r="364" spans="3:13" x14ac:dyDescent="0.25">
      <c r="C364"/>
      <c r="D364"/>
      <c r="E364"/>
      <c r="F364"/>
      <c r="G364"/>
      <c r="H364"/>
      <c r="I364"/>
      <c r="J364"/>
      <c r="K364"/>
      <c r="L364"/>
      <c r="M364"/>
    </row>
    <row r="365" spans="3:13" x14ac:dyDescent="0.25">
      <c r="C365"/>
      <c r="D365"/>
      <c r="E365"/>
      <c r="F365"/>
      <c r="G365"/>
      <c r="H365"/>
      <c r="I365"/>
      <c r="J365"/>
      <c r="K365"/>
      <c r="L365"/>
      <c r="M365"/>
    </row>
    <row r="366" spans="3:13" x14ac:dyDescent="0.25">
      <c r="C366"/>
      <c r="D366"/>
      <c r="E366"/>
      <c r="F366"/>
      <c r="G366"/>
      <c r="H366"/>
      <c r="I366"/>
      <c r="J366"/>
      <c r="K366"/>
      <c r="L366"/>
      <c r="M366"/>
    </row>
    <row r="367" spans="3:13" x14ac:dyDescent="0.25">
      <c r="C367"/>
      <c r="D367"/>
      <c r="E367"/>
      <c r="F367"/>
      <c r="G367"/>
      <c r="H367"/>
      <c r="I367"/>
      <c r="J367"/>
      <c r="K367"/>
      <c r="L367"/>
      <c r="M367"/>
    </row>
    <row r="368" spans="3:13" x14ac:dyDescent="0.25">
      <c r="C368"/>
      <c r="D368"/>
      <c r="E368"/>
      <c r="F368"/>
      <c r="G368"/>
      <c r="H368"/>
      <c r="I368"/>
      <c r="J368"/>
      <c r="K368"/>
      <c r="L368"/>
      <c r="M368"/>
    </row>
    <row r="369" spans="3:13" x14ac:dyDescent="0.25">
      <c r="C369"/>
      <c r="D369"/>
      <c r="E369"/>
      <c r="F369"/>
      <c r="G369"/>
      <c r="H369"/>
      <c r="I369"/>
      <c r="J369"/>
      <c r="K369"/>
      <c r="L369"/>
      <c r="M369"/>
    </row>
    <row r="370" spans="3:13" x14ac:dyDescent="0.25">
      <c r="C370"/>
      <c r="D370"/>
      <c r="E370"/>
      <c r="F370"/>
      <c r="G370"/>
      <c r="H370"/>
      <c r="I370"/>
      <c r="J370"/>
      <c r="K370"/>
      <c r="L370"/>
      <c r="M370"/>
    </row>
    <row r="371" spans="3:13" x14ac:dyDescent="0.25">
      <c r="C371"/>
      <c r="D371"/>
      <c r="E371"/>
      <c r="F371"/>
      <c r="G371"/>
      <c r="H371"/>
      <c r="I371"/>
      <c r="J371"/>
      <c r="K371"/>
      <c r="L371"/>
      <c r="M371"/>
    </row>
    <row r="372" spans="3:13" x14ac:dyDescent="0.25">
      <c r="C372"/>
      <c r="D372"/>
      <c r="E372"/>
      <c r="F372"/>
      <c r="G372"/>
      <c r="H372"/>
      <c r="I372"/>
      <c r="J372"/>
      <c r="K372"/>
      <c r="L372"/>
      <c r="M372"/>
    </row>
    <row r="373" spans="3:13" x14ac:dyDescent="0.25">
      <c r="C373"/>
      <c r="D373"/>
      <c r="E373"/>
      <c r="F373"/>
      <c r="G373"/>
      <c r="H373"/>
      <c r="I373"/>
      <c r="J373"/>
      <c r="K373"/>
      <c r="L373"/>
      <c r="M373"/>
    </row>
    <row r="374" spans="3:13" x14ac:dyDescent="0.25">
      <c r="C374"/>
      <c r="D374"/>
      <c r="E374"/>
      <c r="F374"/>
      <c r="G374"/>
      <c r="H374"/>
      <c r="I374"/>
      <c r="J374"/>
      <c r="K374"/>
      <c r="L374"/>
      <c r="M374"/>
    </row>
    <row r="375" spans="3:13" x14ac:dyDescent="0.25">
      <c r="C375"/>
      <c r="D375"/>
      <c r="E375"/>
      <c r="F375"/>
      <c r="G375"/>
      <c r="H375"/>
      <c r="I375"/>
      <c r="J375"/>
      <c r="K375"/>
      <c r="L375"/>
      <c r="M375"/>
    </row>
    <row r="376" spans="3:13" x14ac:dyDescent="0.25">
      <c r="C376"/>
      <c r="D376"/>
      <c r="E376"/>
      <c r="F376"/>
      <c r="G376"/>
      <c r="H376"/>
      <c r="I376"/>
      <c r="J376"/>
      <c r="K376"/>
      <c r="L376"/>
      <c r="M376"/>
    </row>
    <row r="377" spans="3:13" x14ac:dyDescent="0.25">
      <c r="C377"/>
      <c r="D377"/>
      <c r="E377"/>
      <c r="F377"/>
      <c r="G377"/>
      <c r="H377"/>
      <c r="I377"/>
      <c r="J377"/>
      <c r="K377"/>
      <c r="L377"/>
      <c r="M377"/>
    </row>
    <row r="378" spans="3:13" x14ac:dyDescent="0.25">
      <c r="C378"/>
      <c r="D378"/>
      <c r="E378"/>
      <c r="F378"/>
      <c r="G378"/>
      <c r="H378"/>
      <c r="I378"/>
      <c r="J378"/>
      <c r="K378"/>
      <c r="L378"/>
      <c r="M378"/>
    </row>
    <row r="379" spans="3:13" x14ac:dyDescent="0.25">
      <c r="C379"/>
      <c r="D379"/>
      <c r="E379"/>
      <c r="F379"/>
      <c r="G379"/>
      <c r="H379"/>
      <c r="I379"/>
      <c r="J379"/>
      <c r="K379"/>
      <c r="L379"/>
      <c r="M379"/>
    </row>
    <row r="380" spans="3:13" x14ac:dyDescent="0.25">
      <c r="C380"/>
      <c r="D380"/>
      <c r="E380"/>
      <c r="F380"/>
      <c r="G380"/>
      <c r="H380"/>
      <c r="I380"/>
      <c r="J380"/>
      <c r="K380"/>
      <c r="L380"/>
      <c r="M380"/>
    </row>
    <row r="381" spans="3:13" x14ac:dyDescent="0.25">
      <c r="C381"/>
      <c r="D381"/>
      <c r="E381"/>
      <c r="F381"/>
      <c r="G381"/>
      <c r="H381"/>
      <c r="I381"/>
      <c r="J381"/>
      <c r="K381"/>
      <c r="L381"/>
      <c r="M381"/>
    </row>
    <row r="382" spans="3:13" x14ac:dyDescent="0.25">
      <c r="C382"/>
      <c r="D382"/>
      <c r="E382"/>
      <c r="F382"/>
      <c r="G382"/>
      <c r="H382"/>
      <c r="I382"/>
      <c r="J382"/>
      <c r="K382"/>
      <c r="L382"/>
      <c r="M382"/>
    </row>
    <row r="383" spans="3:13" x14ac:dyDescent="0.25">
      <c r="C383"/>
      <c r="D383"/>
      <c r="E383"/>
      <c r="F383"/>
      <c r="G383"/>
      <c r="H383"/>
      <c r="I383"/>
      <c r="J383"/>
      <c r="K383"/>
      <c r="L383"/>
      <c r="M383"/>
    </row>
    <row r="384" spans="3:13" x14ac:dyDescent="0.25">
      <c r="C384"/>
      <c r="D384"/>
      <c r="E384"/>
      <c r="F384"/>
      <c r="G384"/>
      <c r="H384"/>
      <c r="I384"/>
      <c r="J384"/>
      <c r="K384"/>
      <c r="L384"/>
      <c r="M384"/>
    </row>
    <row r="385" spans="3:13" x14ac:dyDescent="0.25">
      <c r="C385"/>
      <c r="D385"/>
      <c r="E385"/>
      <c r="F385"/>
      <c r="G385"/>
      <c r="H385"/>
      <c r="I385"/>
      <c r="J385"/>
      <c r="K385"/>
      <c r="L385"/>
      <c r="M385"/>
    </row>
    <row r="386" spans="3:13" x14ac:dyDescent="0.25">
      <c r="C386"/>
      <c r="D386"/>
      <c r="E386"/>
      <c r="F386"/>
      <c r="G386"/>
      <c r="H386"/>
      <c r="I386"/>
      <c r="J386"/>
      <c r="K386"/>
      <c r="L386"/>
      <c r="M386"/>
    </row>
    <row r="387" spans="3:13" x14ac:dyDescent="0.25">
      <c r="C387"/>
      <c r="D387"/>
      <c r="E387"/>
      <c r="F387"/>
      <c r="G387"/>
      <c r="H387"/>
      <c r="I387"/>
      <c r="J387"/>
      <c r="K387"/>
      <c r="L387"/>
      <c r="M387"/>
    </row>
    <row r="388" spans="3:13" x14ac:dyDescent="0.25">
      <c r="C388"/>
      <c r="D388"/>
      <c r="E388"/>
      <c r="F388"/>
      <c r="G388"/>
      <c r="H388"/>
      <c r="I388"/>
      <c r="J388"/>
      <c r="K388"/>
      <c r="L388"/>
      <c r="M388"/>
    </row>
    <row r="389" spans="3:13" x14ac:dyDescent="0.25">
      <c r="C389"/>
      <c r="D389"/>
      <c r="E389"/>
      <c r="F389"/>
      <c r="G389"/>
      <c r="H389"/>
      <c r="I389"/>
      <c r="J389"/>
      <c r="K389"/>
      <c r="L389"/>
      <c r="M389"/>
    </row>
    <row r="390" spans="3:13" x14ac:dyDescent="0.25">
      <c r="C390"/>
      <c r="D390"/>
      <c r="E390"/>
      <c r="F390"/>
      <c r="G390"/>
      <c r="H390"/>
      <c r="I390"/>
      <c r="J390"/>
      <c r="K390"/>
      <c r="L390"/>
      <c r="M390"/>
    </row>
    <row r="391" spans="3:13" x14ac:dyDescent="0.25">
      <c r="C391"/>
      <c r="D391"/>
      <c r="E391"/>
      <c r="F391"/>
      <c r="G391"/>
      <c r="H391"/>
      <c r="I391"/>
      <c r="J391"/>
      <c r="K391"/>
      <c r="L391"/>
      <c r="M391"/>
    </row>
    <row r="392" spans="3:13" x14ac:dyDescent="0.25">
      <c r="C392"/>
      <c r="D392"/>
      <c r="E392"/>
      <c r="F392"/>
      <c r="G392"/>
      <c r="H392"/>
      <c r="I392"/>
      <c r="J392"/>
      <c r="K392"/>
      <c r="L392"/>
      <c r="M392"/>
    </row>
    <row r="393" spans="3:13" x14ac:dyDescent="0.25">
      <c r="C393"/>
      <c r="D393"/>
      <c r="E393"/>
      <c r="F393"/>
      <c r="G393"/>
      <c r="H393"/>
      <c r="I393"/>
      <c r="J393"/>
      <c r="K393"/>
      <c r="L393"/>
      <c r="M393"/>
    </row>
    <row r="394" spans="3:13" x14ac:dyDescent="0.25">
      <c r="C394"/>
      <c r="D394"/>
      <c r="E394"/>
      <c r="F394"/>
      <c r="G394"/>
      <c r="H394"/>
      <c r="I394"/>
      <c r="J394"/>
      <c r="K394"/>
      <c r="L394"/>
      <c r="M394"/>
    </row>
    <row r="395" spans="3:13" x14ac:dyDescent="0.25">
      <c r="C395"/>
      <c r="D395"/>
      <c r="E395"/>
      <c r="F395"/>
      <c r="G395"/>
      <c r="H395"/>
      <c r="I395"/>
      <c r="J395"/>
      <c r="K395"/>
      <c r="L395"/>
      <c r="M395"/>
    </row>
    <row r="396" spans="3:13" x14ac:dyDescent="0.25">
      <c r="C396"/>
      <c r="D396"/>
      <c r="E396"/>
      <c r="F396"/>
      <c r="G396"/>
      <c r="H396"/>
      <c r="I396"/>
      <c r="J396"/>
      <c r="K396"/>
      <c r="L396"/>
      <c r="M396"/>
    </row>
    <row r="397" spans="3:13" x14ac:dyDescent="0.25">
      <c r="C397"/>
      <c r="D397"/>
      <c r="E397"/>
      <c r="F397"/>
      <c r="G397"/>
      <c r="H397"/>
      <c r="I397"/>
      <c r="J397"/>
      <c r="K397"/>
      <c r="L397"/>
      <c r="M397"/>
    </row>
    <row r="398" spans="3:13" x14ac:dyDescent="0.25">
      <c r="C398"/>
      <c r="D398"/>
      <c r="E398"/>
      <c r="F398"/>
      <c r="G398"/>
      <c r="H398"/>
      <c r="I398"/>
      <c r="J398"/>
      <c r="K398"/>
      <c r="L398"/>
      <c r="M398"/>
    </row>
    <row r="399" spans="3:13" x14ac:dyDescent="0.25">
      <c r="C399"/>
      <c r="D399"/>
      <c r="E399"/>
      <c r="F399"/>
      <c r="G399"/>
      <c r="H399"/>
      <c r="I399"/>
      <c r="J399"/>
      <c r="K399"/>
      <c r="L399"/>
      <c r="M399"/>
    </row>
    <row r="400" spans="3:13" x14ac:dyDescent="0.25">
      <c r="C400"/>
      <c r="D400"/>
      <c r="E400"/>
      <c r="F400"/>
      <c r="G400"/>
      <c r="H400"/>
      <c r="I400"/>
      <c r="J400"/>
      <c r="K400"/>
      <c r="L400"/>
      <c r="M400"/>
    </row>
    <row r="401" spans="3:13" x14ac:dyDescent="0.25">
      <c r="C401"/>
      <c r="D401"/>
      <c r="E401"/>
      <c r="F401"/>
      <c r="G401"/>
      <c r="H401"/>
      <c r="I401"/>
      <c r="J401"/>
      <c r="K401"/>
      <c r="L401"/>
      <c r="M401"/>
    </row>
    <row r="402" spans="3:13" x14ac:dyDescent="0.25">
      <c r="C402"/>
      <c r="D402"/>
      <c r="E402"/>
      <c r="F402"/>
      <c r="G402"/>
      <c r="H402"/>
      <c r="I402"/>
      <c r="J402"/>
      <c r="K402"/>
      <c r="L402"/>
      <c r="M402"/>
    </row>
    <row r="403" spans="3:13" x14ac:dyDescent="0.25">
      <c r="C403"/>
      <c r="D403"/>
      <c r="E403"/>
      <c r="F403"/>
      <c r="G403"/>
      <c r="H403"/>
      <c r="I403"/>
      <c r="J403"/>
      <c r="K403"/>
      <c r="L403"/>
      <c r="M403"/>
    </row>
    <row r="404" spans="3:13" x14ac:dyDescent="0.25">
      <c r="C404"/>
      <c r="D404"/>
      <c r="E404"/>
      <c r="F404"/>
      <c r="G404"/>
      <c r="H404"/>
      <c r="I404"/>
      <c r="J404"/>
      <c r="K404"/>
      <c r="L404"/>
      <c r="M404"/>
    </row>
    <row r="405" spans="3:13" x14ac:dyDescent="0.25">
      <c r="C405"/>
      <c r="D405"/>
      <c r="E405"/>
      <c r="F405"/>
      <c r="G405"/>
      <c r="H405"/>
      <c r="I405"/>
      <c r="J405"/>
      <c r="K405"/>
      <c r="L405"/>
      <c r="M405"/>
    </row>
    <row r="406" spans="3:13" x14ac:dyDescent="0.25">
      <c r="C406"/>
      <c r="D406"/>
      <c r="E406"/>
      <c r="F406"/>
      <c r="G406"/>
      <c r="H406"/>
      <c r="I406"/>
      <c r="J406"/>
      <c r="K406"/>
      <c r="L406"/>
      <c r="M406"/>
    </row>
    <row r="407" spans="3:13" x14ac:dyDescent="0.25">
      <c r="C407"/>
      <c r="D407"/>
      <c r="E407"/>
      <c r="F407"/>
      <c r="G407"/>
      <c r="H407"/>
      <c r="I407"/>
      <c r="J407"/>
      <c r="K407"/>
      <c r="L407"/>
      <c r="M407"/>
    </row>
    <row r="408" spans="3:13" x14ac:dyDescent="0.25">
      <c r="C408"/>
      <c r="D408"/>
      <c r="E408"/>
      <c r="F408"/>
      <c r="G408"/>
      <c r="H408"/>
      <c r="I408"/>
      <c r="J408"/>
      <c r="K408"/>
      <c r="L408"/>
      <c r="M408"/>
    </row>
    <row r="409" spans="3:13" x14ac:dyDescent="0.25">
      <c r="C409"/>
      <c r="D409"/>
      <c r="E409"/>
      <c r="F409"/>
      <c r="G409"/>
      <c r="H409"/>
      <c r="I409"/>
      <c r="J409"/>
      <c r="K409"/>
      <c r="L409"/>
      <c r="M409"/>
    </row>
    <row r="410" spans="3:13" x14ac:dyDescent="0.25">
      <c r="C410"/>
      <c r="D410"/>
      <c r="E410"/>
      <c r="F410"/>
      <c r="G410"/>
      <c r="H410"/>
      <c r="I410"/>
      <c r="J410"/>
      <c r="K410"/>
      <c r="L410"/>
      <c r="M410"/>
    </row>
    <row r="411" spans="3:13" x14ac:dyDescent="0.25">
      <c r="C411"/>
      <c r="D411"/>
      <c r="E411"/>
      <c r="F411"/>
      <c r="G411"/>
      <c r="H411"/>
      <c r="I411"/>
      <c r="J411"/>
      <c r="K411"/>
      <c r="L411"/>
      <c r="M411"/>
    </row>
    <row r="412" spans="3:13" x14ac:dyDescent="0.25">
      <c r="C412"/>
      <c r="D412"/>
      <c r="E412"/>
      <c r="F412"/>
      <c r="G412"/>
      <c r="H412"/>
      <c r="I412"/>
      <c r="J412"/>
      <c r="K412"/>
      <c r="L412"/>
      <c r="M412"/>
    </row>
    <row r="413" spans="3:13" x14ac:dyDescent="0.25">
      <c r="C413"/>
      <c r="D413"/>
      <c r="E413"/>
      <c r="F413"/>
      <c r="G413"/>
      <c r="H413"/>
      <c r="I413"/>
      <c r="J413"/>
      <c r="K413"/>
      <c r="L413"/>
      <c r="M413"/>
    </row>
    <row r="414" spans="3:13" x14ac:dyDescent="0.25">
      <c r="C414"/>
      <c r="D414"/>
      <c r="E414"/>
      <c r="F414"/>
      <c r="G414"/>
      <c r="H414"/>
      <c r="I414"/>
      <c r="J414"/>
      <c r="K414"/>
      <c r="L414"/>
      <c r="M414"/>
    </row>
    <row r="415" spans="3:13" x14ac:dyDescent="0.25">
      <c r="C415"/>
      <c r="D415"/>
      <c r="E415"/>
      <c r="F415"/>
      <c r="G415"/>
      <c r="H415"/>
      <c r="I415"/>
      <c r="J415"/>
      <c r="K415"/>
      <c r="L415"/>
      <c r="M415"/>
    </row>
    <row r="416" spans="3:13" x14ac:dyDescent="0.25">
      <c r="C416"/>
      <c r="D416"/>
      <c r="E416"/>
      <c r="F416"/>
      <c r="G416"/>
      <c r="H416"/>
      <c r="I416"/>
      <c r="J416"/>
      <c r="K416"/>
      <c r="L416"/>
      <c r="M416"/>
    </row>
    <row r="417" spans="3:13" x14ac:dyDescent="0.25">
      <c r="C417"/>
      <c r="D417"/>
      <c r="E417"/>
      <c r="F417"/>
      <c r="G417"/>
      <c r="H417"/>
      <c r="I417"/>
      <c r="J417"/>
      <c r="K417"/>
      <c r="L417"/>
      <c r="M417"/>
    </row>
    <row r="418" spans="3:13" x14ac:dyDescent="0.25">
      <c r="C418"/>
      <c r="D418"/>
      <c r="E418"/>
      <c r="F418"/>
      <c r="G418"/>
      <c r="H418"/>
      <c r="I418"/>
      <c r="J418"/>
      <c r="K418"/>
      <c r="L418"/>
      <c r="M418"/>
    </row>
    <row r="419" spans="3:13" x14ac:dyDescent="0.25">
      <c r="C419"/>
      <c r="D419"/>
      <c r="E419"/>
      <c r="F419"/>
      <c r="G419"/>
      <c r="H419"/>
      <c r="I419"/>
      <c r="J419"/>
      <c r="K419"/>
      <c r="L419"/>
      <c r="M419"/>
    </row>
    <row r="420" spans="3:13" x14ac:dyDescent="0.25">
      <c r="C420"/>
      <c r="D420"/>
      <c r="E420"/>
      <c r="F420"/>
      <c r="G420"/>
      <c r="H420"/>
      <c r="I420"/>
      <c r="J420"/>
      <c r="K420"/>
      <c r="L420"/>
      <c r="M420"/>
    </row>
    <row r="421" spans="3:13" x14ac:dyDescent="0.25">
      <c r="C421"/>
      <c r="D421"/>
      <c r="E421"/>
      <c r="F421"/>
      <c r="G421"/>
      <c r="H421"/>
      <c r="I421"/>
      <c r="J421"/>
      <c r="K421"/>
      <c r="L421"/>
      <c r="M421"/>
    </row>
    <row r="422" spans="3:13" x14ac:dyDescent="0.25">
      <c r="C422"/>
      <c r="D422"/>
      <c r="E422"/>
      <c r="F422"/>
      <c r="G422"/>
      <c r="H422"/>
      <c r="I422"/>
      <c r="J422"/>
      <c r="K422"/>
      <c r="L422"/>
      <c r="M422"/>
    </row>
    <row r="423" spans="3:13" x14ac:dyDescent="0.25">
      <c r="C423"/>
      <c r="D423"/>
      <c r="E423"/>
      <c r="F423"/>
      <c r="G423"/>
      <c r="H423"/>
      <c r="I423"/>
      <c r="J423"/>
      <c r="K423"/>
      <c r="L423"/>
      <c r="M423"/>
    </row>
    <row r="424" spans="3:13" x14ac:dyDescent="0.25">
      <c r="C424"/>
      <c r="D424"/>
      <c r="E424"/>
      <c r="F424"/>
      <c r="G424"/>
      <c r="H424"/>
      <c r="I424"/>
      <c r="J424"/>
      <c r="K424"/>
      <c r="L424"/>
      <c r="M424"/>
    </row>
    <row r="425" spans="3:13" x14ac:dyDescent="0.25">
      <c r="C425"/>
      <c r="D425"/>
      <c r="E425"/>
      <c r="F425"/>
      <c r="G425"/>
      <c r="H425"/>
      <c r="I425"/>
      <c r="J425"/>
      <c r="K425"/>
      <c r="L425"/>
      <c r="M425"/>
    </row>
    <row r="426" spans="3:13" x14ac:dyDescent="0.25">
      <c r="C426"/>
      <c r="D426"/>
      <c r="E426"/>
      <c r="F426"/>
      <c r="G426"/>
      <c r="H426"/>
      <c r="I426"/>
      <c r="J426"/>
      <c r="K426"/>
      <c r="L426"/>
      <c r="M426"/>
    </row>
    <row r="427" spans="3:13" x14ac:dyDescent="0.25">
      <c r="C427"/>
      <c r="D427"/>
      <c r="E427"/>
      <c r="F427"/>
      <c r="G427"/>
      <c r="H427"/>
      <c r="I427"/>
      <c r="J427"/>
      <c r="K427"/>
      <c r="L427"/>
      <c r="M427"/>
    </row>
    <row r="428" spans="3:13" x14ac:dyDescent="0.25">
      <c r="C428"/>
      <c r="D428"/>
      <c r="E428"/>
      <c r="F428"/>
      <c r="G428"/>
      <c r="H428"/>
      <c r="I428"/>
      <c r="J428"/>
      <c r="K428"/>
      <c r="L428"/>
      <c r="M428"/>
    </row>
    <row r="429" spans="3:13" x14ac:dyDescent="0.25">
      <c r="C429"/>
      <c r="D429"/>
      <c r="E429"/>
      <c r="F429"/>
      <c r="G429"/>
      <c r="H429"/>
      <c r="I429"/>
      <c r="J429"/>
      <c r="K429"/>
      <c r="L429"/>
      <c r="M429"/>
    </row>
    <row r="430" spans="3:13" x14ac:dyDescent="0.25">
      <c r="C430"/>
      <c r="D430"/>
      <c r="E430"/>
      <c r="F430"/>
      <c r="G430"/>
      <c r="H430"/>
      <c r="I430"/>
      <c r="J430"/>
      <c r="K430"/>
      <c r="L430"/>
      <c r="M430"/>
    </row>
    <row r="431" spans="3:13" x14ac:dyDescent="0.25">
      <c r="C431"/>
      <c r="D431"/>
      <c r="E431"/>
      <c r="F431"/>
      <c r="G431"/>
      <c r="H431"/>
      <c r="I431"/>
      <c r="J431"/>
      <c r="K431"/>
      <c r="L431"/>
      <c r="M431"/>
    </row>
    <row r="432" spans="3:13" x14ac:dyDescent="0.25">
      <c r="C432"/>
      <c r="D432"/>
      <c r="E432"/>
      <c r="F432"/>
      <c r="G432"/>
      <c r="H432"/>
      <c r="I432"/>
      <c r="J432"/>
      <c r="K432"/>
      <c r="L432"/>
      <c r="M432"/>
    </row>
    <row r="433" spans="3:13" x14ac:dyDescent="0.25">
      <c r="C433"/>
      <c r="D433"/>
      <c r="E433"/>
      <c r="F433"/>
      <c r="G433"/>
      <c r="H433"/>
      <c r="I433"/>
      <c r="J433"/>
      <c r="K433"/>
      <c r="L433"/>
      <c r="M433"/>
    </row>
    <row r="434" spans="3:13" x14ac:dyDescent="0.25">
      <c r="C434"/>
      <c r="D434"/>
      <c r="E434"/>
      <c r="F434"/>
      <c r="G434"/>
      <c r="H434"/>
      <c r="I434"/>
      <c r="J434"/>
      <c r="K434"/>
      <c r="L434"/>
      <c r="M434"/>
    </row>
    <row r="435" spans="3:13" x14ac:dyDescent="0.25">
      <c r="C435"/>
      <c r="D435"/>
      <c r="E435"/>
      <c r="F435"/>
      <c r="G435"/>
      <c r="H435"/>
      <c r="I435"/>
      <c r="J435"/>
      <c r="K435"/>
      <c r="L435"/>
      <c r="M435"/>
    </row>
    <row r="436" spans="3:13" x14ac:dyDescent="0.25">
      <c r="C436"/>
      <c r="D436"/>
      <c r="E436"/>
      <c r="F436"/>
      <c r="G436"/>
      <c r="H436"/>
      <c r="I436"/>
      <c r="J436"/>
      <c r="K436"/>
      <c r="L436"/>
      <c r="M436"/>
    </row>
    <row r="437" spans="3:13" x14ac:dyDescent="0.25">
      <c r="C437"/>
      <c r="D437"/>
      <c r="E437"/>
      <c r="F437"/>
      <c r="G437"/>
      <c r="H437"/>
      <c r="I437"/>
      <c r="J437"/>
      <c r="K437"/>
      <c r="L437"/>
      <c r="M437"/>
    </row>
    <row r="438" spans="3:13" x14ac:dyDescent="0.25">
      <c r="C438"/>
      <c r="D438"/>
      <c r="E438"/>
      <c r="F438"/>
      <c r="G438"/>
      <c r="H438"/>
      <c r="I438"/>
      <c r="J438"/>
      <c r="K438"/>
      <c r="L438"/>
      <c r="M438"/>
    </row>
    <row r="439" spans="3:13" x14ac:dyDescent="0.25">
      <c r="C439"/>
      <c r="D439"/>
      <c r="E439"/>
      <c r="F439"/>
      <c r="G439"/>
      <c r="H439"/>
      <c r="I439"/>
      <c r="J439"/>
      <c r="K439"/>
      <c r="L439"/>
      <c r="M439"/>
    </row>
    <row r="440" spans="3:13" x14ac:dyDescent="0.25">
      <c r="C440"/>
      <c r="D440"/>
      <c r="E440"/>
      <c r="F440"/>
      <c r="G440"/>
      <c r="H440"/>
      <c r="I440"/>
      <c r="J440"/>
      <c r="K440"/>
      <c r="L440"/>
      <c r="M440"/>
    </row>
    <row r="441" spans="3:13" x14ac:dyDescent="0.25">
      <c r="C441"/>
      <c r="D441"/>
      <c r="E441"/>
      <c r="F441"/>
      <c r="G441"/>
      <c r="H441"/>
      <c r="I441"/>
      <c r="J441"/>
      <c r="K441"/>
      <c r="L441"/>
      <c r="M441"/>
    </row>
    <row r="442" spans="3:13" x14ac:dyDescent="0.25">
      <c r="C442"/>
      <c r="D442"/>
      <c r="E442"/>
      <c r="F442"/>
      <c r="G442"/>
      <c r="H442"/>
      <c r="I442"/>
      <c r="J442"/>
      <c r="K442"/>
      <c r="L442"/>
      <c r="M442"/>
    </row>
    <row r="443" spans="3:13" x14ac:dyDescent="0.25">
      <c r="C443"/>
      <c r="D443"/>
      <c r="E443"/>
      <c r="F443"/>
      <c r="G443"/>
      <c r="H443"/>
      <c r="I443"/>
      <c r="J443"/>
      <c r="K443"/>
      <c r="L443"/>
      <c r="M443"/>
    </row>
    <row r="444" spans="3:13" x14ac:dyDescent="0.25">
      <c r="C444"/>
      <c r="D444"/>
      <c r="E444"/>
      <c r="F444"/>
      <c r="G444"/>
      <c r="H444"/>
      <c r="I444"/>
      <c r="J444"/>
      <c r="K444"/>
      <c r="L444"/>
      <c r="M444"/>
    </row>
    <row r="445" spans="3:13" x14ac:dyDescent="0.25">
      <c r="C445"/>
      <c r="D445"/>
      <c r="E445"/>
      <c r="F445"/>
      <c r="G445"/>
      <c r="H445"/>
      <c r="I445"/>
      <c r="J445"/>
      <c r="K445"/>
      <c r="L445"/>
      <c r="M445"/>
    </row>
    <row r="446" spans="3:13" x14ac:dyDescent="0.25">
      <c r="C446"/>
      <c r="D446"/>
      <c r="E446"/>
      <c r="F446"/>
      <c r="G446"/>
      <c r="H446"/>
      <c r="I446"/>
      <c r="J446"/>
      <c r="K446"/>
      <c r="L446"/>
      <c r="M446"/>
    </row>
    <row r="447" spans="3:13" x14ac:dyDescent="0.25">
      <c r="C447"/>
      <c r="D447"/>
      <c r="E447"/>
      <c r="F447"/>
      <c r="G447"/>
      <c r="H447"/>
      <c r="I447"/>
      <c r="J447"/>
      <c r="K447"/>
      <c r="L447"/>
      <c r="M447"/>
    </row>
    <row r="448" spans="3:13" x14ac:dyDescent="0.25">
      <c r="C448"/>
      <c r="D448"/>
      <c r="E448"/>
      <c r="F448"/>
      <c r="G448"/>
      <c r="H448"/>
      <c r="I448"/>
      <c r="J448"/>
      <c r="K448"/>
      <c r="L448"/>
      <c r="M448"/>
    </row>
    <row r="449" spans="3:13" x14ac:dyDescent="0.25">
      <c r="C449"/>
      <c r="D449"/>
      <c r="E449"/>
      <c r="F449"/>
      <c r="G449"/>
      <c r="H449"/>
      <c r="I449"/>
      <c r="J449"/>
      <c r="K449"/>
      <c r="L449"/>
      <c r="M449"/>
    </row>
    <row r="450" spans="3:13" x14ac:dyDescent="0.25">
      <c r="C450"/>
      <c r="D450"/>
      <c r="E450"/>
      <c r="F450"/>
      <c r="G450"/>
      <c r="H450"/>
      <c r="I450"/>
      <c r="J450"/>
      <c r="K450"/>
      <c r="L450"/>
      <c r="M450"/>
    </row>
    <row r="451" spans="3:13" x14ac:dyDescent="0.25">
      <c r="C451"/>
      <c r="D451"/>
      <c r="E451"/>
      <c r="F451"/>
      <c r="G451"/>
      <c r="H451"/>
      <c r="I451"/>
      <c r="J451"/>
      <c r="K451"/>
      <c r="L451"/>
      <c r="M451"/>
    </row>
    <row r="452" spans="3:13" x14ac:dyDescent="0.25">
      <c r="C452"/>
      <c r="D452"/>
      <c r="E452"/>
      <c r="F452"/>
      <c r="G452"/>
      <c r="H452"/>
      <c r="I452"/>
      <c r="J452"/>
      <c r="K452"/>
      <c r="L452"/>
      <c r="M452"/>
    </row>
    <row r="453" spans="3:13" x14ac:dyDescent="0.25">
      <c r="C453"/>
      <c r="D453"/>
      <c r="E453"/>
      <c r="F453"/>
      <c r="G453"/>
      <c r="H453"/>
      <c r="I453"/>
      <c r="J453"/>
      <c r="K453"/>
      <c r="L453"/>
      <c r="M453"/>
    </row>
    <row r="454" spans="3:13" x14ac:dyDescent="0.25">
      <c r="C454"/>
      <c r="D454"/>
      <c r="E454"/>
      <c r="F454"/>
      <c r="G454"/>
      <c r="H454"/>
      <c r="I454"/>
      <c r="J454"/>
      <c r="K454"/>
      <c r="L454"/>
      <c r="M454"/>
    </row>
    <row r="455" spans="3:13" x14ac:dyDescent="0.25">
      <c r="C455"/>
      <c r="D455"/>
      <c r="E455"/>
      <c r="F455"/>
      <c r="G455"/>
      <c r="H455"/>
      <c r="I455"/>
      <c r="J455"/>
      <c r="K455"/>
      <c r="L455"/>
      <c r="M455"/>
    </row>
    <row r="456" spans="3:13" x14ac:dyDescent="0.25">
      <c r="C456"/>
      <c r="D456"/>
      <c r="E456"/>
      <c r="F456"/>
      <c r="G456"/>
      <c r="H456"/>
      <c r="I456"/>
      <c r="J456"/>
      <c r="K456"/>
      <c r="L456"/>
      <c r="M456"/>
    </row>
    <row r="457" spans="3:13" x14ac:dyDescent="0.25">
      <c r="C457"/>
      <c r="D457"/>
      <c r="E457"/>
      <c r="F457"/>
      <c r="G457"/>
      <c r="H457"/>
      <c r="I457"/>
      <c r="J457"/>
      <c r="K457"/>
      <c r="L457"/>
      <c r="M457"/>
    </row>
    <row r="458" spans="3:13" x14ac:dyDescent="0.25">
      <c r="C458"/>
      <c r="D458"/>
      <c r="E458"/>
      <c r="F458"/>
      <c r="G458"/>
      <c r="H458"/>
      <c r="I458"/>
      <c r="J458"/>
      <c r="K458"/>
      <c r="L458"/>
      <c r="M458"/>
    </row>
    <row r="459" spans="3:13" x14ac:dyDescent="0.25">
      <c r="C459"/>
      <c r="D459"/>
      <c r="E459"/>
      <c r="F459"/>
      <c r="G459"/>
      <c r="H459"/>
      <c r="I459"/>
      <c r="J459"/>
      <c r="K459"/>
      <c r="L459"/>
      <c r="M459"/>
    </row>
    <row r="460" spans="3:13" x14ac:dyDescent="0.25">
      <c r="C460"/>
      <c r="D460"/>
      <c r="E460"/>
      <c r="F460"/>
      <c r="G460"/>
      <c r="H460"/>
      <c r="I460"/>
      <c r="J460"/>
      <c r="K460"/>
      <c r="L460"/>
      <c r="M460"/>
    </row>
    <row r="461" spans="3:13" x14ac:dyDescent="0.25">
      <c r="C461"/>
      <c r="D461"/>
      <c r="E461"/>
      <c r="F461"/>
      <c r="G461"/>
      <c r="H461"/>
      <c r="I461"/>
      <c r="J461"/>
      <c r="K461"/>
      <c r="L461"/>
      <c r="M461"/>
    </row>
    <row r="462" spans="3:13" x14ac:dyDescent="0.25">
      <c r="C462"/>
      <c r="D462"/>
      <c r="E462"/>
      <c r="F462"/>
      <c r="G462"/>
      <c r="H462"/>
      <c r="I462"/>
      <c r="J462"/>
      <c r="K462"/>
      <c r="L462"/>
      <c r="M462"/>
    </row>
    <row r="463" spans="3:13" x14ac:dyDescent="0.25">
      <c r="C463"/>
      <c r="D463"/>
      <c r="E463"/>
      <c r="F463"/>
      <c r="G463"/>
      <c r="H463"/>
      <c r="I463"/>
      <c r="J463"/>
      <c r="K463"/>
      <c r="L463"/>
      <c r="M463"/>
    </row>
    <row r="464" spans="3:13" x14ac:dyDescent="0.25">
      <c r="C464"/>
      <c r="D464"/>
      <c r="E464"/>
      <c r="F464"/>
      <c r="G464"/>
      <c r="H464"/>
      <c r="I464"/>
      <c r="J464"/>
      <c r="K464"/>
      <c r="L464"/>
      <c r="M464"/>
    </row>
    <row r="465" spans="3:13" x14ac:dyDescent="0.25">
      <c r="C465"/>
      <c r="D465"/>
      <c r="E465"/>
      <c r="F465"/>
      <c r="G465"/>
      <c r="H465"/>
      <c r="I465"/>
      <c r="J465"/>
      <c r="K465"/>
      <c r="L465"/>
      <c r="M465"/>
    </row>
    <row r="466" spans="3:13" x14ac:dyDescent="0.25">
      <c r="C466"/>
      <c r="D466"/>
      <c r="E466"/>
      <c r="F466"/>
      <c r="G466"/>
      <c r="H466"/>
      <c r="I466"/>
      <c r="J466"/>
      <c r="K466"/>
      <c r="L466"/>
      <c r="M466"/>
    </row>
    <row r="467" spans="3:13" x14ac:dyDescent="0.25">
      <c r="C467"/>
      <c r="D467"/>
      <c r="E467"/>
      <c r="F467"/>
      <c r="G467"/>
      <c r="H467"/>
      <c r="I467"/>
      <c r="J467"/>
      <c r="K467"/>
      <c r="L467"/>
      <c r="M467"/>
    </row>
    <row r="468" spans="3:13" x14ac:dyDescent="0.25">
      <c r="C468"/>
      <c r="D468"/>
      <c r="E468"/>
      <c r="F468"/>
      <c r="G468"/>
      <c r="H468"/>
      <c r="I468"/>
      <c r="J468"/>
      <c r="K468"/>
      <c r="L468"/>
      <c r="M468"/>
    </row>
    <row r="469" spans="3:13" x14ac:dyDescent="0.25">
      <c r="C469"/>
      <c r="D469"/>
      <c r="E469"/>
      <c r="F469"/>
      <c r="G469"/>
      <c r="H469"/>
      <c r="I469"/>
      <c r="J469"/>
      <c r="K469"/>
      <c r="L469"/>
      <c r="M469"/>
    </row>
    <row r="470" spans="3:13" x14ac:dyDescent="0.25">
      <c r="C470"/>
      <c r="D470"/>
      <c r="E470"/>
      <c r="F470"/>
      <c r="G470"/>
      <c r="H470"/>
      <c r="I470"/>
      <c r="J470"/>
      <c r="K470"/>
      <c r="L470"/>
      <c r="M470"/>
    </row>
    <row r="471" spans="3:13" x14ac:dyDescent="0.25">
      <c r="C471"/>
      <c r="D471"/>
      <c r="E471"/>
      <c r="F471"/>
      <c r="G471"/>
      <c r="H471"/>
      <c r="I471"/>
      <c r="J471"/>
      <c r="K471"/>
      <c r="L471"/>
      <c r="M471"/>
    </row>
    <row r="472" spans="3:13" x14ac:dyDescent="0.25">
      <c r="C472"/>
      <c r="D472"/>
      <c r="E472"/>
      <c r="F472"/>
      <c r="G472"/>
      <c r="H472"/>
      <c r="I472"/>
      <c r="J472"/>
      <c r="K472"/>
      <c r="L472"/>
      <c r="M472"/>
    </row>
    <row r="473" spans="3:13" x14ac:dyDescent="0.25">
      <c r="C473"/>
      <c r="D473"/>
      <c r="E473"/>
      <c r="F473"/>
      <c r="G473"/>
      <c r="H473"/>
      <c r="I473"/>
      <c r="J473"/>
      <c r="K473"/>
      <c r="L473"/>
      <c r="M473"/>
    </row>
    <row r="474" spans="3:13" x14ac:dyDescent="0.25">
      <c r="C474"/>
      <c r="D474"/>
      <c r="E474"/>
      <c r="F474"/>
      <c r="G474"/>
      <c r="H474"/>
      <c r="I474"/>
      <c r="J474"/>
      <c r="K474"/>
      <c r="L474"/>
      <c r="M474"/>
    </row>
    <row r="475" spans="3:13" x14ac:dyDescent="0.25">
      <c r="C475"/>
      <c r="D475"/>
      <c r="E475"/>
      <c r="F475"/>
      <c r="G475"/>
      <c r="H475"/>
      <c r="I475"/>
      <c r="J475"/>
      <c r="K475"/>
      <c r="L475"/>
      <c r="M475"/>
    </row>
    <row r="476" spans="3:13" x14ac:dyDescent="0.25">
      <c r="C476"/>
      <c r="D476"/>
      <c r="E476"/>
      <c r="F476"/>
      <c r="G476"/>
      <c r="H476"/>
      <c r="I476"/>
      <c r="J476"/>
      <c r="K476"/>
      <c r="L476"/>
      <c r="M476"/>
    </row>
    <row r="477" spans="3:13" x14ac:dyDescent="0.25">
      <c r="C477"/>
      <c r="D477"/>
      <c r="E477"/>
      <c r="F477"/>
      <c r="G477"/>
      <c r="H477"/>
      <c r="I477"/>
      <c r="J477"/>
      <c r="K477"/>
      <c r="L477"/>
      <c r="M477"/>
    </row>
    <row r="478" spans="3:13" x14ac:dyDescent="0.25">
      <c r="C478"/>
      <c r="D478"/>
      <c r="E478"/>
      <c r="F478"/>
      <c r="G478"/>
      <c r="H478"/>
      <c r="I478"/>
      <c r="J478"/>
      <c r="K478"/>
      <c r="L478"/>
      <c r="M478"/>
    </row>
    <row r="479" spans="3:13" x14ac:dyDescent="0.25">
      <c r="C479"/>
      <c r="D479"/>
      <c r="E479"/>
      <c r="F479"/>
      <c r="G479"/>
      <c r="H479"/>
      <c r="I479"/>
      <c r="J479"/>
      <c r="K479"/>
      <c r="L479"/>
      <c r="M479"/>
    </row>
    <row r="480" spans="3:13" x14ac:dyDescent="0.25">
      <c r="C480"/>
      <c r="D480"/>
      <c r="E480"/>
      <c r="F480"/>
      <c r="G480"/>
      <c r="H480"/>
      <c r="I480"/>
      <c r="J480"/>
      <c r="K480"/>
      <c r="L480"/>
      <c r="M480"/>
    </row>
    <row r="481" spans="3:13" x14ac:dyDescent="0.25">
      <c r="C481"/>
      <c r="D481"/>
      <c r="E481"/>
      <c r="F481"/>
      <c r="G481"/>
      <c r="H481"/>
      <c r="I481"/>
      <c r="J481"/>
      <c r="K481"/>
      <c r="L481"/>
      <c r="M481"/>
    </row>
    <row r="482" spans="3:13" x14ac:dyDescent="0.25">
      <c r="C482"/>
      <c r="D482"/>
      <c r="E482"/>
      <c r="F482"/>
      <c r="G482"/>
      <c r="H482"/>
      <c r="I482"/>
      <c r="J482"/>
      <c r="K482"/>
      <c r="L482"/>
      <c r="M482"/>
    </row>
    <row r="483" spans="3:13" x14ac:dyDescent="0.25">
      <c r="C483"/>
      <c r="D483"/>
      <c r="E483"/>
      <c r="F483"/>
      <c r="G483"/>
      <c r="H483"/>
      <c r="I483"/>
      <c r="J483"/>
      <c r="K483"/>
      <c r="L483"/>
      <c r="M483"/>
    </row>
    <row r="484" spans="3:13" x14ac:dyDescent="0.25">
      <c r="C484"/>
      <c r="D484"/>
      <c r="E484"/>
      <c r="F484"/>
      <c r="G484"/>
      <c r="H484"/>
      <c r="I484"/>
      <c r="J484"/>
      <c r="K484"/>
      <c r="L484"/>
      <c r="M484"/>
    </row>
    <row r="485" spans="3:13" x14ac:dyDescent="0.25">
      <c r="C485"/>
      <c r="D485"/>
      <c r="E485"/>
      <c r="F485"/>
      <c r="G485"/>
      <c r="H485"/>
      <c r="I485"/>
      <c r="J485"/>
      <c r="K485"/>
      <c r="L485"/>
      <c r="M485"/>
    </row>
    <row r="486" spans="3:13" x14ac:dyDescent="0.25">
      <c r="C486"/>
      <c r="D486"/>
      <c r="E486"/>
      <c r="F486"/>
      <c r="G486"/>
      <c r="H486"/>
      <c r="I486"/>
      <c r="J486"/>
      <c r="K486"/>
      <c r="L486"/>
      <c r="M486"/>
    </row>
    <row r="487" spans="3:13" x14ac:dyDescent="0.25">
      <c r="C487"/>
      <c r="D487"/>
      <c r="E487"/>
      <c r="F487"/>
      <c r="G487"/>
      <c r="H487"/>
      <c r="I487"/>
      <c r="J487"/>
      <c r="K487"/>
      <c r="L487"/>
      <c r="M487"/>
    </row>
    <row r="488" spans="3:13" x14ac:dyDescent="0.25">
      <c r="C488"/>
      <c r="D488"/>
      <c r="E488"/>
      <c r="F488"/>
      <c r="G488"/>
      <c r="H488"/>
      <c r="I488"/>
      <c r="J488"/>
      <c r="K488"/>
      <c r="L488"/>
      <c r="M488"/>
    </row>
    <row r="489" spans="3:13" x14ac:dyDescent="0.25">
      <c r="C489"/>
      <c r="D489"/>
      <c r="E489"/>
      <c r="F489"/>
      <c r="G489"/>
      <c r="H489"/>
      <c r="I489"/>
      <c r="J489"/>
      <c r="K489"/>
      <c r="L489"/>
      <c r="M489"/>
    </row>
    <row r="490" spans="3:13" x14ac:dyDescent="0.25">
      <c r="C490"/>
      <c r="D490"/>
      <c r="E490"/>
      <c r="F490"/>
      <c r="G490"/>
      <c r="H490"/>
      <c r="I490"/>
      <c r="J490"/>
      <c r="K490"/>
      <c r="L490"/>
      <c r="M490"/>
    </row>
    <row r="491" spans="3:13" x14ac:dyDescent="0.25">
      <c r="C491"/>
      <c r="D491"/>
      <c r="E491"/>
      <c r="F491"/>
      <c r="G491"/>
      <c r="H491"/>
      <c r="I491"/>
      <c r="J491"/>
      <c r="K491"/>
      <c r="L491"/>
      <c r="M491"/>
    </row>
    <row r="492" spans="3:13" x14ac:dyDescent="0.25">
      <c r="C492"/>
      <c r="D492"/>
      <c r="E492"/>
      <c r="F492"/>
      <c r="G492"/>
      <c r="H492"/>
      <c r="I492"/>
      <c r="J492"/>
      <c r="K492"/>
      <c r="L492"/>
      <c r="M492"/>
    </row>
    <row r="493" spans="3:13" x14ac:dyDescent="0.25">
      <c r="C493"/>
      <c r="D493"/>
      <c r="E493"/>
      <c r="F493"/>
      <c r="G493"/>
      <c r="H493"/>
      <c r="I493"/>
      <c r="J493"/>
      <c r="K493"/>
      <c r="L493"/>
      <c r="M493"/>
    </row>
    <row r="494" spans="3:13" x14ac:dyDescent="0.25">
      <c r="C494"/>
      <c r="D494"/>
      <c r="E494"/>
      <c r="F494"/>
      <c r="G494"/>
      <c r="H494"/>
      <c r="I494"/>
      <c r="J494"/>
      <c r="K494"/>
      <c r="L494"/>
      <c r="M494"/>
    </row>
    <row r="495" spans="3:13" x14ac:dyDescent="0.25">
      <c r="C495"/>
      <c r="D495"/>
      <c r="E495"/>
      <c r="F495"/>
      <c r="G495"/>
      <c r="H495"/>
      <c r="I495"/>
      <c r="J495"/>
      <c r="K495"/>
      <c r="L495"/>
      <c r="M495"/>
    </row>
    <row r="496" spans="3:13" x14ac:dyDescent="0.25">
      <c r="C496"/>
      <c r="D496"/>
      <c r="E496"/>
      <c r="F496"/>
      <c r="G496"/>
      <c r="H496"/>
      <c r="I496"/>
      <c r="J496"/>
      <c r="K496"/>
      <c r="L496"/>
      <c r="M496"/>
    </row>
    <row r="497" spans="3:13" x14ac:dyDescent="0.25">
      <c r="C497"/>
      <c r="D497"/>
      <c r="E497"/>
      <c r="F497"/>
      <c r="G497"/>
      <c r="H497"/>
      <c r="I497"/>
      <c r="J497"/>
      <c r="K497"/>
      <c r="L497"/>
      <c r="M497"/>
    </row>
    <row r="498" spans="3:13" x14ac:dyDescent="0.25">
      <c r="C498"/>
      <c r="D498"/>
      <c r="E498"/>
      <c r="F498"/>
      <c r="G498"/>
      <c r="H498"/>
      <c r="I498"/>
      <c r="J498"/>
      <c r="K498"/>
      <c r="L498"/>
      <c r="M498"/>
    </row>
    <row r="499" spans="3:13" x14ac:dyDescent="0.25">
      <c r="C499"/>
      <c r="D499"/>
      <c r="E499"/>
      <c r="F499"/>
      <c r="G499"/>
      <c r="H499"/>
      <c r="I499"/>
      <c r="J499"/>
      <c r="K499"/>
      <c r="L499"/>
      <c r="M499"/>
    </row>
    <row r="500" spans="3:13" x14ac:dyDescent="0.25">
      <c r="C500"/>
      <c r="D500"/>
      <c r="E500"/>
      <c r="F500"/>
      <c r="G500"/>
      <c r="H500"/>
      <c r="I500"/>
      <c r="J500"/>
      <c r="K500"/>
      <c r="L500"/>
      <c r="M500"/>
    </row>
    <row r="501" spans="3:13" x14ac:dyDescent="0.25">
      <c r="C501"/>
      <c r="D501"/>
      <c r="E501"/>
      <c r="F501"/>
      <c r="G501"/>
      <c r="H501"/>
      <c r="I501"/>
      <c r="J501"/>
      <c r="K501"/>
      <c r="L501"/>
      <c r="M501"/>
    </row>
    <row r="502" spans="3:13" x14ac:dyDescent="0.25">
      <c r="C502"/>
      <c r="D502"/>
      <c r="E502"/>
      <c r="F502"/>
      <c r="G502"/>
      <c r="H502"/>
      <c r="I502"/>
      <c r="J502"/>
      <c r="K502"/>
      <c r="L502"/>
      <c r="M502"/>
    </row>
    <row r="503" spans="3:13" x14ac:dyDescent="0.25">
      <c r="C503"/>
      <c r="D503"/>
      <c r="E503"/>
      <c r="F503"/>
      <c r="G503"/>
      <c r="H503"/>
      <c r="I503"/>
      <c r="J503"/>
      <c r="K503"/>
      <c r="L503"/>
      <c r="M503"/>
    </row>
    <row r="504" spans="3:13" x14ac:dyDescent="0.25">
      <c r="C504"/>
      <c r="D504"/>
      <c r="E504"/>
      <c r="F504"/>
      <c r="G504"/>
      <c r="H504"/>
      <c r="I504"/>
      <c r="J504"/>
      <c r="K504"/>
      <c r="L504"/>
      <c r="M504"/>
    </row>
    <row r="505" spans="3:13" x14ac:dyDescent="0.25">
      <c r="C505"/>
      <c r="D505"/>
      <c r="E505"/>
      <c r="F505"/>
      <c r="G505"/>
      <c r="H505"/>
      <c r="I505"/>
      <c r="J505"/>
      <c r="K505"/>
      <c r="L505"/>
      <c r="M505"/>
    </row>
    <row r="506" spans="3:13" x14ac:dyDescent="0.25">
      <c r="C506"/>
      <c r="D506"/>
      <c r="E506"/>
      <c r="F506"/>
      <c r="G506"/>
      <c r="H506"/>
      <c r="I506"/>
      <c r="J506"/>
      <c r="K506"/>
      <c r="L506"/>
      <c r="M506"/>
    </row>
    <row r="507" spans="3:13" x14ac:dyDescent="0.25">
      <c r="C507"/>
      <c r="D507"/>
      <c r="E507"/>
      <c r="F507"/>
      <c r="G507"/>
      <c r="H507"/>
      <c r="I507"/>
      <c r="J507"/>
      <c r="K507"/>
      <c r="L507"/>
      <c r="M507"/>
    </row>
    <row r="508" spans="3:13" x14ac:dyDescent="0.25">
      <c r="C508"/>
      <c r="D508"/>
      <c r="E508"/>
      <c r="F508"/>
      <c r="G508"/>
      <c r="H508"/>
      <c r="I508"/>
      <c r="J508"/>
      <c r="K508"/>
      <c r="L508"/>
      <c r="M508"/>
    </row>
    <row r="509" spans="3:13" x14ac:dyDescent="0.25">
      <c r="C509"/>
      <c r="D509"/>
      <c r="E509"/>
      <c r="F509"/>
      <c r="G509"/>
      <c r="H509"/>
      <c r="I509"/>
      <c r="J509"/>
      <c r="K509"/>
      <c r="L509"/>
      <c r="M509"/>
    </row>
    <row r="510" spans="3:13" x14ac:dyDescent="0.25">
      <c r="C510"/>
      <c r="D510"/>
      <c r="E510"/>
      <c r="F510"/>
      <c r="G510"/>
      <c r="H510"/>
      <c r="I510"/>
      <c r="J510"/>
      <c r="K510"/>
      <c r="L510"/>
      <c r="M510"/>
    </row>
    <row r="511" spans="3:13" x14ac:dyDescent="0.25">
      <c r="C511"/>
      <c r="D511"/>
      <c r="E511"/>
      <c r="F511"/>
      <c r="G511"/>
      <c r="H511"/>
      <c r="I511"/>
      <c r="J511"/>
      <c r="K511"/>
      <c r="L511"/>
      <c r="M511"/>
    </row>
    <row r="512" spans="3:13" x14ac:dyDescent="0.25">
      <c r="C512"/>
      <c r="D512"/>
      <c r="E512"/>
      <c r="F512"/>
      <c r="G512"/>
      <c r="H512"/>
      <c r="I512"/>
      <c r="J512"/>
      <c r="K512"/>
      <c r="L512"/>
      <c r="M512"/>
    </row>
    <row r="513" spans="3:13" x14ac:dyDescent="0.25">
      <c r="C513"/>
      <c r="D513"/>
      <c r="E513"/>
      <c r="F513"/>
      <c r="G513"/>
      <c r="H513"/>
      <c r="I513"/>
      <c r="J513"/>
      <c r="K513"/>
      <c r="L513"/>
      <c r="M513"/>
    </row>
    <row r="514" spans="3:13" x14ac:dyDescent="0.25">
      <c r="C514"/>
      <c r="D514"/>
      <c r="E514"/>
      <c r="F514"/>
      <c r="G514"/>
      <c r="H514"/>
      <c r="I514"/>
      <c r="J514"/>
      <c r="K514"/>
      <c r="L514"/>
      <c r="M514"/>
    </row>
    <row r="515" spans="3:13" x14ac:dyDescent="0.25">
      <c r="C515"/>
      <c r="D515"/>
      <c r="E515"/>
      <c r="F515"/>
      <c r="G515"/>
      <c r="H515"/>
      <c r="I515"/>
      <c r="J515"/>
      <c r="K515"/>
      <c r="L515"/>
      <c r="M515"/>
    </row>
    <row r="516" spans="3:13" x14ac:dyDescent="0.25">
      <c r="C516"/>
      <c r="D516"/>
      <c r="E516"/>
      <c r="F516"/>
      <c r="G516"/>
      <c r="H516"/>
      <c r="I516"/>
      <c r="J516"/>
      <c r="K516"/>
      <c r="L516"/>
      <c r="M516"/>
    </row>
    <row r="517" spans="3:13" x14ac:dyDescent="0.25">
      <c r="C517"/>
      <c r="D517"/>
      <c r="E517"/>
      <c r="F517"/>
      <c r="G517"/>
      <c r="H517"/>
      <c r="I517"/>
      <c r="J517"/>
      <c r="K517"/>
      <c r="L517"/>
      <c r="M517"/>
    </row>
    <row r="518" spans="3:13" x14ac:dyDescent="0.25">
      <c r="C518"/>
      <c r="D518"/>
      <c r="E518"/>
      <c r="F518"/>
      <c r="G518"/>
      <c r="H518"/>
      <c r="I518"/>
      <c r="J518"/>
      <c r="K518"/>
      <c r="L518"/>
      <c r="M518"/>
    </row>
    <row r="519" spans="3:13" x14ac:dyDescent="0.25">
      <c r="C519"/>
      <c r="D519"/>
      <c r="E519"/>
      <c r="F519"/>
      <c r="G519"/>
      <c r="H519"/>
      <c r="I519"/>
      <c r="J519"/>
      <c r="K519"/>
      <c r="L519"/>
      <c r="M519"/>
    </row>
    <row r="520" spans="3:13" x14ac:dyDescent="0.25">
      <c r="C520"/>
      <c r="D520"/>
      <c r="E520"/>
      <c r="F520"/>
      <c r="G520"/>
      <c r="H520"/>
      <c r="I520"/>
      <c r="J520"/>
      <c r="K520"/>
      <c r="L520"/>
      <c r="M520"/>
    </row>
    <row r="521" spans="3:13" x14ac:dyDescent="0.25">
      <c r="C521"/>
      <c r="D521"/>
      <c r="E521"/>
      <c r="F521"/>
      <c r="G521"/>
      <c r="H521"/>
      <c r="I521"/>
      <c r="J521"/>
      <c r="K521"/>
      <c r="L521"/>
      <c r="M521"/>
    </row>
    <row r="522" spans="3:13" x14ac:dyDescent="0.25">
      <c r="C522"/>
      <c r="D522"/>
      <c r="E522"/>
      <c r="F522"/>
      <c r="G522"/>
      <c r="H522"/>
      <c r="I522"/>
      <c r="J522"/>
      <c r="K522"/>
      <c r="L522"/>
      <c r="M522"/>
    </row>
    <row r="523" spans="3:13" x14ac:dyDescent="0.25">
      <c r="C523"/>
      <c r="D523"/>
      <c r="E523"/>
      <c r="F523"/>
      <c r="G523"/>
      <c r="H523"/>
      <c r="I523"/>
      <c r="J523"/>
      <c r="K523"/>
      <c r="L523"/>
      <c r="M523"/>
    </row>
    <row r="524" spans="3:13" x14ac:dyDescent="0.25">
      <c r="C524"/>
      <c r="D524"/>
      <c r="E524"/>
      <c r="F524"/>
      <c r="G524"/>
      <c r="H524"/>
      <c r="I524"/>
      <c r="J524"/>
      <c r="K524"/>
      <c r="L524"/>
      <c r="M524"/>
    </row>
    <row r="525" spans="3:13" x14ac:dyDescent="0.25">
      <c r="C525"/>
      <c r="D525"/>
      <c r="E525"/>
      <c r="F525"/>
      <c r="G525"/>
      <c r="H525"/>
      <c r="I525"/>
      <c r="J525"/>
      <c r="K525"/>
      <c r="L525"/>
      <c r="M525"/>
    </row>
    <row r="526" spans="3:13" x14ac:dyDescent="0.25">
      <c r="C526"/>
      <c r="D526"/>
      <c r="E526"/>
      <c r="F526"/>
      <c r="G526"/>
      <c r="H526"/>
      <c r="I526"/>
      <c r="J526"/>
      <c r="K526"/>
      <c r="L526"/>
      <c r="M526"/>
    </row>
    <row r="527" spans="3:13" x14ac:dyDescent="0.25">
      <c r="C527"/>
      <c r="D527"/>
      <c r="E527"/>
      <c r="F527"/>
      <c r="G527"/>
      <c r="H527"/>
      <c r="I527"/>
      <c r="J527"/>
      <c r="K527"/>
      <c r="L527"/>
      <c r="M527"/>
    </row>
    <row r="528" spans="3:13" x14ac:dyDescent="0.25">
      <c r="C528"/>
      <c r="D528"/>
      <c r="E528"/>
      <c r="F528"/>
      <c r="G528"/>
      <c r="H528"/>
      <c r="I528"/>
      <c r="J528"/>
      <c r="K528"/>
      <c r="L528"/>
      <c r="M528"/>
    </row>
    <row r="529" spans="3:13" x14ac:dyDescent="0.25">
      <c r="C529"/>
      <c r="D529"/>
      <c r="E529"/>
      <c r="F529"/>
      <c r="G529"/>
      <c r="H529"/>
      <c r="I529"/>
      <c r="J529"/>
      <c r="K529"/>
      <c r="L529"/>
      <c r="M529"/>
    </row>
    <row r="530" spans="3:13" x14ac:dyDescent="0.25">
      <c r="C530"/>
      <c r="D530"/>
      <c r="E530"/>
      <c r="F530"/>
      <c r="G530"/>
      <c r="H530"/>
      <c r="I530"/>
      <c r="J530"/>
      <c r="K530"/>
      <c r="L530"/>
      <c r="M530"/>
    </row>
    <row r="531" spans="3:13" x14ac:dyDescent="0.25">
      <c r="C531"/>
      <c r="D531"/>
      <c r="E531"/>
      <c r="F531"/>
      <c r="G531"/>
      <c r="H531"/>
      <c r="I531"/>
      <c r="J531"/>
      <c r="K531"/>
      <c r="L531"/>
      <c r="M531"/>
    </row>
    <row r="532" spans="3:13" x14ac:dyDescent="0.25">
      <c r="C532"/>
      <c r="D532"/>
      <c r="E532"/>
      <c r="F532"/>
      <c r="G532"/>
      <c r="H532"/>
      <c r="I532"/>
      <c r="J532"/>
      <c r="K532"/>
      <c r="L532"/>
      <c r="M532"/>
    </row>
    <row r="533" spans="3:13" x14ac:dyDescent="0.25">
      <c r="C533"/>
      <c r="D533"/>
      <c r="E533"/>
      <c r="F533"/>
      <c r="G533"/>
      <c r="H533"/>
      <c r="I533"/>
      <c r="J533"/>
      <c r="K533"/>
      <c r="L533"/>
      <c r="M533"/>
    </row>
    <row r="534" spans="3:13" x14ac:dyDescent="0.25">
      <c r="C534"/>
      <c r="D534"/>
      <c r="E534"/>
      <c r="F534"/>
      <c r="G534"/>
      <c r="H534"/>
      <c r="I534"/>
      <c r="J534"/>
      <c r="K534"/>
      <c r="L534"/>
      <c r="M534"/>
    </row>
    <row r="535" spans="3:13" x14ac:dyDescent="0.25">
      <c r="C535"/>
      <c r="D535"/>
      <c r="E535"/>
      <c r="F535"/>
      <c r="G535"/>
      <c r="H535"/>
      <c r="I535"/>
      <c r="J535"/>
      <c r="K535"/>
      <c r="L535"/>
      <c r="M535"/>
    </row>
    <row r="536" spans="3:13" x14ac:dyDescent="0.25">
      <c r="C536"/>
      <c r="D536"/>
      <c r="E536"/>
      <c r="F536"/>
      <c r="G536"/>
      <c r="H536"/>
      <c r="I536"/>
      <c r="J536"/>
      <c r="K536"/>
      <c r="L536"/>
      <c r="M536"/>
    </row>
    <row r="537" spans="3:13" x14ac:dyDescent="0.25">
      <c r="C537"/>
      <c r="D537"/>
      <c r="E537"/>
      <c r="F537"/>
      <c r="G537"/>
      <c r="H537"/>
      <c r="I537"/>
      <c r="J537"/>
      <c r="K537"/>
      <c r="L537"/>
      <c r="M537"/>
    </row>
    <row r="538" spans="3:13" x14ac:dyDescent="0.25">
      <c r="C538"/>
      <c r="D538"/>
      <c r="E538"/>
      <c r="F538"/>
      <c r="G538"/>
      <c r="H538"/>
      <c r="I538"/>
      <c r="J538"/>
      <c r="K538"/>
      <c r="L538"/>
      <c r="M538"/>
    </row>
    <row r="539" spans="3:13" x14ac:dyDescent="0.25">
      <c r="C539"/>
      <c r="D539"/>
      <c r="E539"/>
      <c r="F539"/>
      <c r="G539"/>
      <c r="H539"/>
      <c r="I539"/>
      <c r="J539"/>
      <c r="K539"/>
      <c r="L539"/>
      <c r="M539"/>
    </row>
    <row r="540" spans="3:13" x14ac:dyDescent="0.25">
      <c r="C540"/>
      <c r="D540"/>
      <c r="E540"/>
      <c r="F540"/>
      <c r="G540"/>
      <c r="H540"/>
      <c r="I540"/>
      <c r="J540"/>
      <c r="K540"/>
      <c r="L540"/>
      <c r="M540"/>
    </row>
    <row r="541" spans="3:13" x14ac:dyDescent="0.25">
      <c r="C541"/>
      <c r="D541"/>
      <c r="E541"/>
      <c r="F541"/>
      <c r="G541"/>
      <c r="H541"/>
      <c r="I541"/>
      <c r="J541"/>
      <c r="K541"/>
      <c r="L541"/>
      <c r="M541"/>
    </row>
    <row r="542" spans="3:13" x14ac:dyDescent="0.25">
      <c r="C542"/>
      <c r="D542"/>
      <c r="E542"/>
      <c r="F542"/>
      <c r="G542"/>
      <c r="H542"/>
      <c r="I542"/>
      <c r="J542"/>
      <c r="K542"/>
      <c r="L542"/>
      <c r="M542"/>
    </row>
    <row r="543" spans="3:13" x14ac:dyDescent="0.25">
      <c r="C543"/>
      <c r="D543"/>
      <c r="E543"/>
      <c r="F543"/>
      <c r="G543"/>
      <c r="H543"/>
      <c r="I543"/>
      <c r="J543"/>
      <c r="K543"/>
      <c r="L543"/>
      <c r="M543"/>
    </row>
    <row r="544" spans="3:13" x14ac:dyDescent="0.25">
      <c r="C544"/>
      <c r="D544"/>
      <c r="E544"/>
      <c r="F544"/>
      <c r="G544"/>
      <c r="H544"/>
      <c r="I544"/>
      <c r="J544"/>
      <c r="K544"/>
      <c r="L544"/>
      <c r="M544"/>
    </row>
    <row r="545" spans="3:13" x14ac:dyDescent="0.25">
      <c r="C545"/>
      <c r="D545"/>
      <c r="E545"/>
      <c r="F545"/>
      <c r="G545"/>
      <c r="H545"/>
      <c r="I545"/>
      <c r="J545"/>
      <c r="K545"/>
      <c r="L545"/>
      <c r="M545"/>
    </row>
    <row r="546" spans="3:13" x14ac:dyDescent="0.25">
      <c r="C546"/>
      <c r="D546"/>
      <c r="E546"/>
      <c r="F546"/>
      <c r="G546"/>
      <c r="H546"/>
      <c r="I546"/>
      <c r="J546"/>
      <c r="K546"/>
      <c r="L546"/>
      <c r="M546"/>
    </row>
    <row r="547" spans="3:13" x14ac:dyDescent="0.25">
      <c r="C547"/>
      <c r="D547"/>
      <c r="E547"/>
      <c r="F547"/>
      <c r="G547"/>
      <c r="H547"/>
      <c r="I547"/>
      <c r="J547"/>
      <c r="K547"/>
      <c r="L547"/>
      <c r="M547"/>
    </row>
    <row r="548" spans="3:13" x14ac:dyDescent="0.25">
      <c r="C548"/>
      <c r="D548"/>
      <c r="E548"/>
      <c r="F548"/>
      <c r="G548"/>
      <c r="H548"/>
      <c r="I548"/>
      <c r="J548"/>
      <c r="K548"/>
      <c r="L548"/>
      <c r="M548"/>
    </row>
    <row r="549" spans="3:13" x14ac:dyDescent="0.25">
      <c r="C549"/>
      <c r="D549"/>
      <c r="E549"/>
      <c r="F549"/>
      <c r="G549"/>
      <c r="H549"/>
      <c r="I549"/>
      <c r="J549"/>
      <c r="K549"/>
      <c r="L549"/>
      <c r="M549"/>
    </row>
    <row r="550" spans="3:13" x14ac:dyDescent="0.25">
      <c r="C550"/>
      <c r="D550"/>
      <c r="E550"/>
      <c r="F550"/>
      <c r="G550"/>
      <c r="H550"/>
      <c r="I550"/>
      <c r="J550"/>
      <c r="K550"/>
      <c r="L550"/>
      <c r="M550"/>
    </row>
    <row r="551" spans="3:13" x14ac:dyDescent="0.25">
      <c r="C551"/>
      <c r="D551"/>
      <c r="E551"/>
      <c r="F551"/>
      <c r="G551"/>
      <c r="H551"/>
      <c r="I551"/>
      <c r="J551"/>
      <c r="K551"/>
      <c r="L551"/>
      <c r="M551"/>
    </row>
    <row r="552" spans="3:13" x14ac:dyDescent="0.25">
      <c r="C552"/>
      <c r="D552"/>
      <c r="E552"/>
      <c r="F552"/>
      <c r="G552"/>
      <c r="H552"/>
      <c r="I552"/>
      <c r="J552"/>
      <c r="K552"/>
      <c r="L552"/>
      <c r="M552"/>
    </row>
    <row r="553" spans="3:13" x14ac:dyDescent="0.25">
      <c r="C553"/>
      <c r="D553"/>
      <c r="E553"/>
      <c r="F553"/>
      <c r="G553"/>
      <c r="H553"/>
      <c r="I553"/>
      <c r="J553"/>
      <c r="K553"/>
      <c r="L553"/>
      <c r="M553"/>
    </row>
    <row r="554" spans="3:13" x14ac:dyDescent="0.25">
      <c r="C554"/>
      <c r="D554"/>
      <c r="E554"/>
      <c r="F554"/>
      <c r="G554"/>
      <c r="H554"/>
      <c r="I554"/>
      <c r="J554"/>
      <c r="K554"/>
      <c r="L554"/>
      <c r="M554"/>
    </row>
    <row r="555" spans="3:13" x14ac:dyDescent="0.25">
      <c r="C555"/>
      <c r="D555"/>
      <c r="E555"/>
      <c r="F555"/>
      <c r="G555"/>
      <c r="H555"/>
      <c r="I555"/>
      <c r="J555"/>
      <c r="K555"/>
      <c r="L555"/>
      <c r="M555"/>
    </row>
    <row r="556" spans="3:13" x14ac:dyDescent="0.25">
      <c r="C556"/>
      <c r="D556"/>
      <c r="E556"/>
      <c r="F556"/>
      <c r="G556"/>
      <c r="H556"/>
      <c r="I556"/>
      <c r="J556"/>
      <c r="K556"/>
      <c r="L556"/>
      <c r="M556"/>
    </row>
    <row r="557" spans="3:13" x14ac:dyDescent="0.25">
      <c r="C557"/>
      <c r="D557"/>
      <c r="E557"/>
      <c r="F557"/>
      <c r="G557"/>
      <c r="H557"/>
      <c r="I557"/>
      <c r="J557"/>
      <c r="K557"/>
      <c r="L557"/>
      <c r="M557"/>
    </row>
    <row r="558" spans="3:13" x14ac:dyDescent="0.25">
      <c r="C558"/>
      <c r="D558"/>
      <c r="E558"/>
      <c r="F558"/>
      <c r="G558"/>
      <c r="H558"/>
      <c r="I558"/>
      <c r="J558"/>
      <c r="K558"/>
      <c r="L558"/>
      <c r="M558"/>
    </row>
    <row r="559" spans="3:13" x14ac:dyDescent="0.25">
      <c r="C559"/>
      <c r="D559"/>
      <c r="E559"/>
      <c r="F559"/>
      <c r="G559"/>
      <c r="H559"/>
      <c r="I559"/>
      <c r="J559"/>
      <c r="K559"/>
      <c r="L559"/>
      <c r="M559"/>
    </row>
    <row r="560" spans="3:13" x14ac:dyDescent="0.25">
      <c r="C560"/>
      <c r="D560"/>
      <c r="E560"/>
      <c r="F560"/>
      <c r="G560"/>
      <c r="H560"/>
      <c r="I560"/>
      <c r="J560"/>
      <c r="K560"/>
      <c r="L560"/>
      <c r="M560"/>
    </row>
    <row r="561" spans="3:13" x14ac:dyDescent="0.25">
      <c r="C561"/>
      <c r="D561"/>
      <c r="E561"/>
      <c r="F561"/>
      <c r="G561"/>
      <c r="H561"/>
      <c r="I561"/>
      <c r="J561"/>
      <c r="K561"/>
      <c r="L561"/>
      <c r="M561"/>
    </row>
    <row r="562" spans="3:13" x14ac:dyDescent="0.25">
      <c r="C562"/>
      <c r="D562"/>
      <c r="E562"/>
      <c r="F562"/>
      <c r="G562"/>
      <c r="H562"/>
      <c r="I562"/>
      <c r="J562"/>
      <c r="K562"/>
      <c r="L562"/>
      <c r="M562"/>
    </row>
    <row r="563" spans="3:13" x14ac:dyDescent="0.25">
      <c r="C563"/>
      <c r="D563"/>
      <c r="E563"/>
      <c r="F563"/>
      <c r="G563"/>
      <c r="H563"/>
      <c r="I563"/>
      <c r="J563"/>
      <c r="K563"/>
      <c r="L563"/>
      <c r="M563"/>
    </row>
    <row r="564" spans="3:13" x14ac:dyDescent="0.25">
      <c r="C564"/>
      <c r="D564"/>
      <c r="E564"/>
      <c r="F564"/>
      <c r="G564"/>
      <c r="H564"/>
      <c r="I564"/>
      <c r="J564"/>
      <c r="K564"/>
      <c r="L564"/>
      <c r="M564"/>
    </row>
    <row r="565" spans="3:13" x14ac:dyDescent="0.25">
      <c r="C565"/>
      <c r="D565"/>
      <c r="E565"/>
      <c r="F565"/>
      <c r="G565"/>
      <c r="H565"/>
      <c r="I565"/>
      <c r="J565"/>
      <c r="K565"/>
      <c r="L565"/>
      <c r="M565"/>
    </row>
    <row r="566" spans="3:13" x14ac:dyDescent="0.25">
      <c r="C566"/>
      <c r="D566"/>
      <c r="E566"/>
      <c r="F566"/>
      <c r="G566"/>
      <c r="H566"/>
      <c r="I566"/>
      <c r="J566"/>
      <c r="K566"/>
      <c r="L566"/>
      <c r="M566"/>
    </row>
    <row r="567" spans="3:13" x14ac:dyDescent="0.25">
      <c r="C567"/>
      <c r="D567"/>
      <c r="E567"/>
      <c r="F567"/>
      <c r="G567"/>
      <c r="H567"/>
      <c r="I567"/>
      <c r="J567"/>
      <c r="K567"/>
      <c r="L567"/>
      <c r="M567"/>
    </row>
    <row r="568" spans="3:13" x14ac:dyDescent="0.25">
      <c r="C568"/>
      <c r="D568"/>
      <c r="E568"/>
      <c r="F568"/>
      <c r="G568"/>
      <c r="H568"/>
      <c r="I568"/>
      <c r="J568"/>
      <c r="K568"/>
      <c r="L568"/>
      <c r="M568"/>
    </row>
    <row r="569" spans="3:13" x14ac:dyDescent="0.25">
      <c r="C569"/>
      <c r="D569"/>
      <c r="E569"/>
      <c r="F569"/>
      <c r="G569"/>
      <c r="H569"/>
      <c r="I569"/>
      <c r="J569"/>
      <c r="K569"/>
      <c r="L569"/>
      <c r="M569"/>
    </row>
    <row r="570" spans="3:13" x14ac:dyDescent="0.25">
      <c r="C570"/>
      <c r="D570"/>
      <c r="E570"/>
      <c r="F570"/>
      <c r="G570"/>
      <c r="H570"/>
      <c r="I570"/>
      <c r="J570"/>
      <c r="K570"/>
      <c r="L570"/>
      <c r="M570"/>
    </row>
    <row r="571" spans="3:13" x14ac:dyDescent="0.25">
      <c r="C571"/>
      <c r="D571"/>
      <c r="E571"/>
      <c r="F571"/>
      <c r="G571"/>
      <c r="H571"/>
      <c r="I571"/>
      <c r="J571"/>
      <c r="K571"/>
      <c r="L571"/>
      <c r="M571"/>
    </row>
    <row r="572" spans="3:13" x14ac:dyDescent="0.25">
      <c r="C572"/>
      <c r="D572"/>
      <c r="E572"/>
      <c r="F572"/>
      <c r="G572"/>
      <c r="H572"/>
      <c r="I572"/>
      <c r="J572"/>
      <c r="K572"/>
      <c r="L572"/>
      <c r="M572"/>
    </row>
    <row r="573" spans="3:13" x14ac:dyDescent="0.25">
      <c r="C573"/>
      <c r="D573"/>
      <c r="E573"/>
      <c r="F573"/>
      <c r="G573"/>
      <c r="H573"/>
      <c r="I573"/>
      <c r="J573"/>
      <c r="K573"/>
      <c r="L573"/>
      <c r="M573"/>
    </row>
    <row r="574" spans="3:13" x14ac:dyDescent="0.25">
      <c r="C574"/>
      <c r="D574"/>
      <c r="E574"/>
      <c r="F574"/>
      <c r="G574"/>
      <c r="H574"/>
      <c r="I574"/>
      <c r="J574"/>
      <c r="K574"/>
      <c r="L574"/>
      <c r="M574"/>
    </row>
    <row r="575" spans="3:13" x14ac:dyDescent="0.25">
      <c r="C575"/>
      <c r="D575"/>
      <c r="E575"/>
      <c r="F575"/>
      <c r="G575"/>
      <c r="H575"/>
      <c r="I575"/>
      <c r="J575"/>
      <c r="K575"/>
      <c r="L575"/>
      <c r="M575"/>
    </row>
    <row r="576" spans="3:13" x14ac:dyDescent="0.25">
      <c r="C576"/>
      <c r="D576"/>
      <c r="E576"/>
      <c r="F576"/>
      <c r="G576"/>
      <c r="H576"/>
      <c r="I576"/>
      <c r="J576"/>
      <c r="K576"/>
      <c r="L576"/>
      <c r="M576"/>
    </row>
    <row r="577" spans="3:13" x14ac:dyDescent="0.25">
      <c r="C577"/>
      <c r="D577"/>
      <c r="E577"/>
      <c r="F577"/>
      <c r="G577"/>
      <c r="H577"/>
      <c r="I577"/>
      <c r="J577"/>
      <c r="K577"/>
      <c r="L577"/>
      <c r="M577"/>
    </row>
    <row r="578" spans="3:13" x14ac:dyDescent="0.25">
      <c r="C578"/>
      <c r="D578"/>
      <c r="E578"/>
      <c r="F578"/>
      <c r="G578"/>
      <c r="H578"/>
      <c r="I578"/>
      <c r="J578"/>
      <c r="K578"/>
      <c r="L578"/>
      <c r="M578"/>
    </row>
    <row r="579" spans="3:13" x14ac:dyDescent="0.25">
      <c r="C579"/>
      <c r="D579"/>
      <c r="E579"/>
      <c r="F579"/>
      <c r="G579"/>
      <c r="H579"/>
      <c r="I579"/>
      <c r="J579"/>
      <c r="K579"/>
      <c r="L579"/>
      <c r="M579"/>
    </row>
    <row r="580" spans="3:13" x14ac:dyDescent="0.25">
      <c r="C580"/>
      <c r="D580"/>
      <c r="E580"/>
      <c r="F580"/>
      <c r="G580"/>
      <c r="H580"/>
      <c r="I580"/>
      <c r="J580"/>
      <c r="K580"/>
      <c r="L580"/>
      <c r="M580"/>
    </row>
    <row r="581" spans="3:13" x14ac:dyDescent="0.25">
      <c r="C581"/>
      <c r="D581"/>
      <c r="E581"/>
      <c r="F581"/>
      <c r="G581"/>
      <c r="H581"/>
      <c r="I581"/>
      <c r="J581"/>
      <c r="K581"/>
      <c r="L581"/>
      <c r="M581"/>
    </row>
    <row r="582" spans="3:13" x14ac:dyDescent="0.25">
      <c r="C582"/>
      <c r="D582"/>
      <c r="E582"/>
      <c r="F582"/>
      <c r="G582"/>
      <c r="H582"/>
      <c r="I582"/>
      <c r="J582"/>
      <c r="K582"/>
      <c r="L582"/>
      <c r="M582"/>
    </row>
    <row r="583" spans="3:13" x14ac:dyDescent="0.25">
      <c r="C583"/>
      <c r="D583"/>
      <c r="E583"/>
      <c r="F583"/>
      <c r="G583"/>
      <c r="H583"/>
      <c r="I583"/>
      <c r="J583"/>
      <c r="K583"/>
      <c r="L583"/>
      <c r="M583"/>
    </row>
    <row r="584" spans="3:13" x14ac:dyDescent="0.25">
      <c r="C584"/>
      <c r="D584"/>
      <c r="E584"/>
      <c r="F584"/>
      <c r="G584"/>
      <c r="H584"/>
      <c r="I584"/>
      <c r="J584"/>
      <c r="K584"/>
      <c r="L584"/>
      <c r="M584"/>
    </row>
    <row r="585" spans="3:13" x14ac:dyDescent="0.25">
      <c r="C585"/>
      <c r="D585"/>
      <c r="E585"/>
      <c r="F585"/>
      <c r="G585"/>
      <c r="H585"/>
      <c r="I585"/>
      <c r="J585"/>
      <c r="K585"/>
      <c r="L585"/>
      <c r="M585"/>
    </row>
    <row r="586" spans="3:13" x14ac:dyDescent="0.25">
      <c r="C586"/>
      <c r="D586"/>
      <c r="E586"/>
      <c r="F586"/>
      <c r="G586"/>
      <c r="H586"/>
      <c r="I586"/>
      <c r="J586"/>
      <c r="K586"/>
      <c r="L586"/>
      <c r="M586"/>
    </row>
    <row r="587" spans="3:13" x14ac:dyDescent="0.25">
      <c r="C587"/>
      <c r="D587"/>
      <c r="E587"/>
      <c r="F587"/>
      <c r="G587"/>
      <c r="H587"/>
      <c r="I587"/>
      <c r="J587"/>
      <c r="K587"/>
      <c r="L587"/>
      <c r="M587"/>
    </row>
    <row r="588" spans="3:13" x14ac:dyDescent="0.25">
      <c r="C588"/>
      <c r="D588"/>
      <c r="E588"/>
      <c r="F588"/>
      <c r="G588"/>
      <c r="H588"/>
      <c r="I588"/>
      <c r="J588"/>
      <c r="K588"/>
      <c r="L588"/>
      <c r="M588"/>
    </row>
    <row r="589" spans="3:13" x14ac:dyDescent="0.25">
      <c r="C589"/>
      <c r="D589"/>
      <c r="E589"/>
      <c r="F589"/>
      <c r="G589"/>
      <c r="H589"/>
      <c r="I589"/>
      <c r="J589"/>
      <c r="K589"/>
      <c r="L589"/>
      <c r="M589"/>
    </row>
    <row r="590" spans="3:13" x14ac:dyDescent="0.25">
      <c r="C590"/>
      <c r="D590"/>
      <c r="E590"/>
      <c r="F590"/>
      <c r="G590"/>
      <c r="H590"/>
      <c r="I590"/>
      <c r="J590"/>
      <c r="K590"/>
      <c r="L590"/>
      <c r="M590"/>
    </row>
    <row r="591" spans="3:13" x14ac:dyDescent="0.25">
      <c r="C591"/>
      <c r="D591"/>
      <c r="E591"/>
      <c r="F591"/>
      <c r="G591"/>
      <c r="H591"/>
      <c r="I591"/>
      <c r="J591"/>
      <c r="K591"/>
      <c r="L591"/>
      <c r="M591"/>
    </row>
    <row r="592" spans="3:13" x14ac:dyDescent="0.25">
      <c r="C592"/>
      <c r="D592"/>
      <c r="E592"/>
      <c r="F592"/>
      <c r="G592"/>
      <c r="H592"/>
      <c r="I592"/>
      <c r="J592"/>
      <c r="K592"/>
      <c r="L592"/>
      <c r="M592"/>
    </row>
    <row r="593" spans="3:13" x14ac:dyDescent="0.25">
      <c r="C593"/>
      <c r="D593"/>
      <c r="E593"/>
      <c r="F593"/>
      <c r="G593"/>
      <c r="H593"/>
      <c r="I593"/>
      <c r="J593"/>
      <c r="K593"/>
      <c r="L593"/>
      <c r="M593"/>
    </row>
    <row r="594" spans="3:13" x14ac:dyDescent="0.25">
      <c r="C594"/>
      <c r="D594"/>
      <c r="E594"/>
      <c r="F594"/>
      <c r="G594"/>
      <c r="H594"/>
      <c r="I594"/>
      <c r="J594"/>
      <c r="K594"/>
      <c r="L594"/>
      <c r="M594"/>
    </row>
    <row r="595" spans="3:13" x14ac:dyDescent="0.25">
      <c r="C595"/>
      <c r="D595"/>
      <c r="E595"/>
      <c r="F595"/>
      <c r="G595"/>
      <c r="H595"/>
      <c r="I595"/>
      <c r="J595"/>
      <c r="K595"/>
      <c r="L595"/>
      <c r="M595"/>
    </row>
    <row r="596" spans="3:13" x14ac:dyDescent="0.25">
      <c r="C596"/>
      <c r="D596"/>
      <c r="E596"/>
      <c r="F596"/>
      <c r="G596"/>
      <c r="H596"/>
      <c r="I596"/>
      <c r="J596"/>
      <c r="K596"/>
      <c r="L596"/>
      <c r="M596"/>
    </row>
    <row r="597" spans="3:13" x14ac:dyDescent="0.25">
      <c r="C597"/>
      <c r="D597"/>
      <c r="E597"/>
      <c r="F597"/>
      <c r="G597"/>
      <c r="H597"/>
      <c r="I597"/>
      <c r="J597"/>
      <c r="K597"/>
      <c r="L597"/>
      <c r="M597"/>
    </row>
    <row r="598" spans="3:13" x14ac:dyDescent="0.25">
      <c r="C598"/>
      <c r="D598"/>
      <c r="E598"/>
      <c r="F598"/>
      <c r="G598"/>
      <c r="H598"/>
      <c r="I598"/>
      <c r="J598"/>
      <c r="K598"/>
      <c r="L598"/>
      <c r="M598"/>
    </row>
    <row r="599" spans="3:13" x14ac:dyDescent="0.25">
      <c r="C599"/>
      <c r="D599"/>
      <c r="E599"/>
      <c r="F599"/>
      <c r="G599"/>
      <c r="H599"/>
      <c r="I599"/>
      <c r="J599"/>
      <c r="K599"/>
      <c r="L599"/>
      <c r="M599"/>
    </row>
    <row r="600" spans="3:13" x14ac:dyDescent="0.25">
      <c r="C600"/>
      <c r="D600"/>
      <c r="E600"/>
      <c r="F600"/>
      <c r="G600"/>
      <c r="H600"/>
      <c r="I600"/>
      <c r="J600"/>
      <c r="K600"/>
      <c r="L600"/>
      <c r="M600"/>
    </row>
    <row r="601" spans="3:13" x14ac:dyDescent="0.25">
      <c r="C601"/>
      <c r="D601"/>
      <c r="E601"/>
      <c r="F601"/>
      <c r="G601"/>
      <c r="H601"/>
      <c r="I601"/>
      <c r="J601"/>
      <c r="K601"/>
      <c r="L601"/>
      <c r="M601"/>
    </row>
    <row r="602" spans="3:13" x14ac:dyDescent="0.25">
      <c r="C602"/>
      <c r="D602"/>
      <c r="E602"/>
      <c r="F602"/>
      <c r="G602"/>
      <c r="H602"/>
      <c r="I602"/>
      <c r="J602"/>
      <c r="K602"/>
      <c r="L602"/>
      <c r="M602"/>
    </row>
    <row r="603" spans="3:13" x14ac:dyDescent="0.25">
      <c r="C603"/>
      <c r="D603"/>
      <c r="E603"/>
      <c r="F603"/>
      <c r="G603"/>
      <c r="H603"/>
      <c r="I603"/>
      <c r="J603"/>
      <c r="K603"/>
      <c r="L603"/>
      <c r="M603"/>
    </row>
    <row r="604" spans="3:13" x14ac:dyDescent="0.25">
      <c r="C604"/>
      <c r="D604"/>
      <c r="E604"/>
      <c r="F604"/>
      <c r="G604"/>
      <c r="H604"/>
      <c r="I604"/>
      <c r="J604"/>
      <c r="K604"/>
      <c r="L604"/>
      <c r="M604"/>
    </row>
    <row r="605" spans="3:13" x14ac:dyDescent="0.25">
      <c r="C605"/>
      <c r="D605"/>
      <c r="E605"/>
      <c r="F605"/>
      <c r="G605"/>
      <c r="H605"/>
      <c r="I605"/>
      <c r="J605"/>
      <c r="K605"/>
      <c r="L605"/>
      <c r="M605"/>
    </row>
    <row r="606" spans="3:13" x14ac:dyDescent="0.25">
      <c r="C606"/>
      <c r="D606"/>
      <c r="E606"/>
      <c r="F606"/>
      <c r="G606"/>
      <c r="H606"/>
      <c r="I606"/>
      <c r="J606"/>
      <c r="K606"/>
      <c r="L606"/>
      <c r="M606"/>
    </row>
    <row r="607" spans="3:13" x14ac:dyDescent="0.25">
      <c r="C607"/>
      <c r="D607"/>
      <c r="E607"/>
      <c r="F607"/>
      <c r="G607"/>
      <c r="H607"/>
      <c r="I607"/>
      <c r="J607"/>
      <c r="K607"/>
      <c r="L607"/>
      <c r="M607"/>
    </row>
    <row r="608" spans="3:13" x14ac:dyDescent="0.25">
      <c r="C608"/>
      <c r="D608"/>
      <c r="E608"/>
      <c r="F608"/>
      <c r="G608"/>
      <c r="H608"/>
      <c r="I608"/>
      <c r="J608"/>
      <c r="K608"/>
      <c r="L608"/>
      <c r="M608"/>
    </row>
    <row r="609" spans="3:13" x14ac:dyDescent="0.25">
      <c r="C609"/>
      <c r="D609"/>
      <c r="E609"/>
      <c r="F609"/>
      <c r="G609"/>
      <c r="H609"/>
      <c r="I609"/>
      <c r="J609"/>
      <c r="K609"/>
      <c r="L609"/>
      <c r="M609"/>
    </row>
    <row r="610" spans="3:13" x14ac:dyDescent="0.25">
      <c r="C610"/>
      <c r="D610"/>
      <c r="E610"/>
      <c r="F610"/>
      <c r="G610"/>
      <c r="H610"/>
      <c r="I610"/>
      <c r="J610"/>
      <c r="K610"/>
      <c r="L610"/>
      <c r="M610"/>
    </row>
    <row r="611" spans="3:13" x14ac:dyDescent="0.25">
      <c r="C611"/>
      <c r="D611"/>
      <c r="E611"/>
      <c r="F611"/>
      <c r="G611"/>
      <c r="H611"/>
      <c r="I611"/>
      <c r="J611"/>
      <c r="K611"/>
      <c r="L611"/>
      <c r="M611"/>
    </row>
    <row r="612" spans="3:13" x14ac:dyDescent="0.25">
      <c r="C612"/>
      <c r="D612"/>
      <c r="E612"/>
      <c r="F612"/>
      <c r="G612"/>
      <c r="H612"/>
      <c r="I612"/>
      <c r="J612"/>
      <c r="K612"/>
      <c r="L612"/>
      <c r="M612"/>
    </row>
    <row r="613" spans="3:13" x14ac:dyDescent="0.25">
      <c r="C613"/>
      <c r="D613"/>
      <c r="E613"/>
      <c r="F613"/>
      <c r="G613"/>
      <c r="H613"/>
      <c r="I613"/>
      <c r="J613"/>
      <c r="K613"/>
      <c r="L613"/>
      <c r="M613"/>
    </row>
    <row r="614" spans="3:13" x14ac:dyDescent="0.25">
      <c r="C614"/>
      <c r="D614"/>
      <c r="E614"/>
      <c r="F614"/>
      <c r="G614"/>
      <c r="H614"/>
      <c r="I614"/>
      <c r="J614"/>
      <c r="K614"/>
      <c r="L614"/>
      <c r="M614"/>
    </row>
    <row r="615" spans="3:13" x14ac:dyDescent="0.25">
      <c r="C615"/>
      <c r="D615"/>
      <c r="E615"/>
      <c r="F615"/>
      <c r="G615"/>
      <c r="H615"/>
      <c r="I615"/>
      <c r="J615"/>
      <c r="K615"/>
      <c r="L615"/>
      <c r="M615"/>
    </row>
    <row r="616" spans="3:13" x14ac:dyDescent="0.25">
      <c r="C616"/>
      <c r="D616"/>
      <c r="E616"/>
      <c r="F616"/>
      <c r="G616"/>
      <c r="H616"/>
      <c r="I616"/>
      <c r="J616"/>
      <c r="K616"/>
      <c r="L616"/>
      <c r="M616"/>
    </row>
    <row r="617" spans="3:13" x14ac:dyDescent="0.25">
      <c r="C617"/>
      <c r="D617"/>
      <c r="E617"/>
      <c r="F617"/>
      <c r="G617"/>
      <c r="H617"/>
      <c r="I617"/>
      <c r="J617"/>
      <c r="K617"/>
      <c r="L617"/>
      <c r="M617"/>
    </row>
    <row r="618" spans="3:13" x14ac:dyDescent="0.25">
      <c r="C618"/>
      <c r="D618"/>
      <c r="E618"/>
      <c r="F618"/>
      <c r="G618"/>
      <c r="H618"/>
      <c r="I618"/>
      <c r="J618"/>
      <c r="K618"/>
      <c r="L618"/>
      <c r="M618"/>
    </row>
    <row r="619" spans="3:13" x14ac:dyDescent="0.25">
      <c r="C619"/>
      <c r="D619"/>
      <c r="E619"/>
      <c r="F619"/>
      <c r="G619"/>
      <c r="H619"/>
      <c r="I619"/>
      <c r="J619"/>
      <c r="K619"/>
      <c r="L619"/>
      <c r="M619"/>
    </row>
    <row r="620" spans="3:13" x14ac:dyDescent="0.25">
      <c r="C620"/>
      <c r="D620"/>
      <c r="E620"/>
      <c r="F620"/>
      <c r="G620"/>
      <c r="H620"/>
      <c r="I620"/>
      <c r="J620"/>
      <c r="K620"/>
      <c r="L620"/>
      <c r="M620"/>
    </row>
    <row r="621" spans="3:13" x14ac:dyDescent="0.25">
      <c r="C621"/>
      <c r="D621"/>
      <c r="E621"/>
      <c r="F621"/>
      <c r="G621"/>
      <c r="H621"/>
      <c r="I621"/>
      <c r="J621"/>
      <c r="K621"/>
      <c r="L621"/>
      <c r="M621"/>
    </row>
    <row r="622" spans="3:13" x14ac:dyDescent="0.25">
      <c r="C622"/>
      <c r="D622"/>
      <c r="E622"/>
      <c r="F622"/>
      <c r="G622"/>
      <c r="H622"/>
      <c r="I622"/>
      <c r="J622"/>
      <c r="K622"/>
      <c r="L622"/>
      <c r="M622"/>
    </row>
    <row r="623" spans="3:13" x14ac:dyDescent="0.25">
      <c r="C623"/>
      <c r="D623"/>
      <c r="E623"/>
      <c r="F623"/>
      <c r="G623"/>
      <c r="H623"/>
      <c r="I623"/>
      <c r="J623"/>
      <c r="K623"/>
      <c r="L623"/>
      <c r="M623"/>
    </row>
    <row r="624" spans="3:13" x14ac:dyDescent="0.25">
      <c r="C624"/>
      <c r="D624"/>
      <c r="E624"/>
      <c r="F624"/>
      <c r="G624"/>
      <c r="H624"/>
      <c r="I624"/>
      <c r="J624"/>
      <c r="K624"/>
      <c r="L624"/>
      <c r="M624"/>
    </row>
    <row r="625" spans="3:13" x14ac:dyDescent="0.25">
      <c r="C625"/>
      <c r="D625"/>
      <c r="E625"/>
      <c r="F625"/>
      <c r="G625"/>
      <c r="H625"/>
      <c r="I625"/>
      <c r="J625"/>
      <c r="K625"/>
      <c r="L625"/>
      <c r="M625"/>
    </row>
    <row r="626" spans="3:13" x14ac:dyDescent="0.25">
      <c r="C626"/>
      <c r="D626"/>
      <c r="E626"/>
      <c r="F626"/>
      <c r="G626"/>
      <c r="H626"/>
      <c r="I626"/>
      <c r="J626"/>
      <c r="K626"/>
      <c r="L626"/>
      <c r="M626"/>
    </row>
    <row r="627" spans="3:13" x14ac:dyDescent="0.25">
      <c r="C627"/>
      <c r="D627"/>
      <c r="E627"/>
      <c r="F627"/>
      <c r="G627"/>
      <c r="H627"/>
      <c r="I627"/>
      <c r="J627"/>
      <c r="K627"/>
      <c r="L627"/>
      <c r="M627"/>
    </row>
    <row r="628" spans="3:13" x14ac:dyDescent="0.25">
      <c r="C628"/>
      <c r="D628"/>
      <c r="E628"/>
      <c r="F628"/>
      <c r="G628"/>
      <c r="H628"/>
      <c r="I628"/>
      <c r="J628"/>
      <c r="K628"/>
      <c r="L628"/>
      <c r="M628"/>
    </row>
    <row r="629" spans="3:13" x14ac:dyDescent="0.25">
      <c r="C629"/>
      <c r="D629"/>
      <c r="E629"/>
      <c r="F629"/>
      <c r="G629"/>
      <c r="H629"/>
      <c r="I629"/>
      <c r="J629"/>
      <c r="K629"/>
      <c r="L629"/>
      <c r="M629"/>
    </row>
    <row r="630" spans="3:13" x14ac:dyDescent="0.25">
      <c r="C630"/>
      <c r="D630"/>
      <c r="E630"/>
      <c r="F630"/>
      <c r="G630"/>
      <c r="H630"/>
      <c r="I630"/>
      <c r="J630"/>
      <c r="K630"/>
      <c r="L630"/>
      <c r="M630"/>
    </row>
    <row r="631" spans="3:13" x14ac:dyDescent="0.25">
      <c r="C631"/>
      <c r="D631"/>
      <c r="E631"/>
      <c r="F631"/>
      <c r="G631"/>
      <c r="H631"/>
      <c r="I631"/>
      <c r="J631"/>
      <c r="K631"/>
      <c r="L631"/>
      <c r="M631"/>
    </row>
    <row r="632" spans="3:13" x14ac:dyDescent="0.25">
      <c r="C632"/>
      <c r="D632"/>
      <c r="E632"/>
      <c r="F632"/>
      <c r="G632"/>
      <c r="H632"/>
      <c r="I632"/>
      <c r="J632"/>
      <c r="K632"/>
      <c r="L632"/>
      <c r="M632"/>
    </row>
    <row r="633" spans="3:13" x14ac:dyDescent="0.25">
      <c r="C633"/>
      <c r="D633"/>
      <c r="E633"/>
      <c r="F633"/>
      <c r="G633"/>
      <c r="H633"/>
      <c r="I633"/>
      <c r="J633"/>
      <c r="K633"/>
      <c r="L633"/>
      <c r="M633"/>
    </row>
    <row r="634" spans="3:13" x14ac:dyDescent="0.25">
      <c r="C634"/>
      <c r="D634"/>
      <c r="E634"/>
      <c r="F634"/>
      <c r="G634"/>
      <c r="H634"/>
      <c r="I634"/>
      <c r="J634"/>
      <c r="K634"/>
      <c r="L634"/>
      <c r="M634"/>
    </row>
    <row r="635" spans="3:13" x14ac:dyDescent="0.25">
      <c r="C635"/>
      <c r="D635"/>
      <c r="E635"/>
      <c r="F635"/>
      <c r="G635"/>
      <c r="H635"/>
      <c r="I635"/>
      <c r="J635"/>
      <c r="K635"/>
      <c r="L635"/>
      <c r="M635"/>
    </row>
    <row r="636" spans="3:13" x14ac:dyDescent="0.25">
      <c r="C636"/>
      <c r="D636"/>
      <c r="E636"/>
      <c r="F636"/>
      <c r="G636"/>
      <c r="H636"/>
      <c r="I636"/>
      <c r="J636"/>
      <c r="K636"/>
      <c r="L636"/>
      <c r="M636"/>
    </row>
    <row r="637" spans="3:13" x14ac:dyDescent="0.25">
      <c r="C637"/>
      <c r="D637"/>
      <c r="E637"/>
      <c r="F637"/>
      <c r="G637"/>
      <c r="H637"/>
      <c r="I637"/>
      <c r="J637"/>
      <c r="K637"/>
      <c r="L637"/>
      <c r="M637"/>
    </row>
    <row r="638" spans="3:13" x14ac:dyDescent="0.25">
      <c r="C638"/>
      <c r="D638"/>
      <c r="E638"/>
      <c r="F638"/>
      <c r="G638"/>
      <c r="H638"/>
      <c r="I638"/>
      <c r="J638"/>
      <c r="K638"/>
      <c r="L638"/>
      <c r="M638"/>
    </row>
    <row r="639" spans="3:13" x14ac:dyDescent="0.25">
      <c r="C639"/>
      <c r="D639"/>
      <c r="E639"/>
      <c r="F639"/>
      <c r="G639"/>
      <c r="H639"/>
      <c r="I639"/>
      <c r="J639"/>
      <c r="K639"/>
      <c r="L639"/>
      <c r="M639"/>
    </row>
    <row r="640" spans="3:13" x14ac:dyDescent="0.25">
      <c r="C640"/>
      <c r="D640"/>
      <c r="E640"/>
      <c r="F640"/>
      <c r="G640"/>
      <c r="H640"/>
      <c r="I640"/>
      <c r="J640"/>
      <c r="K640"/>
      <c r="L640"/>
      <c r="M640"/>
    </row>
    <row r="641" spans="3:13" x14ac:dyDescent="0.25">
      <c r="C641"/>
      <c r="D641"/>
      <c r="E641"/>
      <c r="F641"/>
      <c r="G641"/>
      <c r="H641"/>
      <c r="I641"/>
      <c r="J641"/>
      <c r="K641"/>
      <c r="L641"/>
      <c r="M641"/>
    </row>
    <row r="642" spans="3:13" x14ac:dyDescent="0.25">
      <c r="C642"/>
      <c r="D642"/>
      <c r="E642"/>
      <c r="F642"/>
      <c r="G642"/>
      <c r="H642"/>
      <c r="I642"/>
      <c r="J642"/>
      <c r="K642"/>
      <c r="L642"/>
      <c r="M642"/>
    </row>
    <row r="643" spans="3:13" x14ac:dyDescent="0.25">
      <c r="C643"/>
      <c r="D643"/>
      <c r="E643"/>
      <c r="F643"/>
      <c r="G643"/>
      <c r="H643"/>
      <c r="I643"/>
      <c r="J643"/>
      <c r="K643"/>
      <c r="L643"/>
      <c r="M643"/>
    </row>
    <row r="644" spans="3:13" x14ac:dyDescent="0.25">
      <c r="C644"/>
      <c r="D644"/>
      <c r="E644"/>
      <c r="F644"/>
      <c r="G644"/>
      <c r="H644"/>
      <c r="I644"/>
      <c r="J644"/>
      <c r="K644"/>
      <c r="L644"/>
      <c r="M644"/>
    </row>
    <row r="645" spans="3:13" x14ac:dyDescent="0.25">
      <c r="C645"/>
      <c r="D645"/>
      <c r="E645"/>
      <c r="F645"/>
      <c r="G645"/>
      <c r="H645"/>
      <c r="I645"/>
      <c r="J645"/>
      <c r="K645"/>
      <c r="L645"/>
      <c r="M645"/>
    </row>
    <row r="646" spans="3:13" x14ac:dyDescent="0.25">
      <c r="C646"/>
      <c r="D646"/>
      <c r="E646"/>
      <c r="F646"/>
      <c r="G646"/>
      <c r="H646"/>
      <c r="I646"/>
      <c r="J646"/>
      <c r="K646"/>
      <c r="L646"/>
      <c r="M646"/>
    </row>
    <row r="647" spans="3:13" x14ac:dyDescent="0.25">
      <c r="C647"/>
      <c r="D647"/>
      <c r="E647"/>
      <c r="F647"/>
      <c r="G647"/>
      <c r="H647"/>
      <c r="I647"/>
      <c r="J647"/>
      <c r="K647"/>
      <c r="L647"/>
      <c r="M647"/>
    </row>
    <row r="648" spans="3:13" x14ac:dyDescent="0.25">
      <c r="C648"/>
      <c r="D648"/>
      <c r="E648"/>
      <c r="F648"/>
      <c r="G648"/>
      <c r="H648"/>
      <c r="I648"/>
      <c r="J648"/>
      <c r="K648"/>
      <c r="L648"/>
      <c r="M648"/>
    </row>
    <row r="649" spans="3:13" x14ac:dyDescent="0.25">
      <c r="C649"/>
      <c r="D649"/>
      <c r="E649"/>
      <c r="F649"/>
      <c r="G649"/>
      <c r="H649"/>
      <c r="I649"/>
      <c r="J649"/>
      <c r="K649"/>
      <c r="L649"/>
      <c r="M649"/>
    </row>
    <row r="650" spans="3:13" x14ac:dyDescent="0.25">
      <c r="C650"/>
      <c r="D650"/>
      <c r="E650"/>
      <c r="F650"/>
      <c r="G650"/>
      <c r="H650"/>
      <c r="I650"/>
      <c r="J650"/>
      <c r="K650"/>
      <c r="L650"/>
      <c r="M650"/>
    </row>
    <row r="651" spans="3:13" x14ac:dyDescent="0.25">
      <c r="C651"/>
      <c r="D651"/>
      <c r="E651"/>
      <c r="F651"/>
      <c r="G651"/>
      <c r="H651"/>
      <c r="I651"/>
      <c r="J651"/>
      <c r="K651"/>
      <c r="L651"/>
      <c r="M651"/>
    </row>
    <row r="652" spans="3:13" x14ac:dyDescent="0.25">
      <c r="C652"/>
      <c r="D652"/>
      <c r="E652"/>
      <c r="F652"/>
      <c r="G652"/>
      <c r="H652"/>
      <c r="I652"/>
      <c r="J652"/>
      <c r="K652"/>
      <c r="L652"/>
      <c r="M652"/>
    </row>
    <row r="653" spans="3:13" x14ac:dyDescent="0.25">
      <c r="C653"/>
      <c r="D653"/>
      <c r="E653"/>
      <c r="F653"/>
      <c r="G653"/>
      <c r="H653"/>
      <c r="I653"/>
      <c r="J653"/>
      <c r="K653"/>
      <c r="L653"/>
      <c r="M653"/>
    </row>
    <row r="654" spans="3:13" x14ac:dyDescent="0.25">
      <c r="C654"/>
      <c r="D654"/>
      <c r="E654"/>
      <c r="F654"/>
      <c r="G654"/>
      <c r="H654"/>
      <c r="I654"/>
      <c r="J654"/>
      <c r="K654"/>
      <c r="L654"/>
      <c r="M654"/>
    </row>
    <row r="655" spans="3:13" x14ac:dyDescent="0.25">
      <c r="C655"/>
      <c r="D655"/>
      <c r="E655"/>
      <c r="F655"/>
      <c r="G655"/>
      <c r="H655"/>
      <c r="I655"/>
      <c r="J655"/>
      <c r="K655"/>
      <c r="L655"/>
      <c r="M655"/>
    </row>
    <row r="656" spans="3:13" x14ac:dyDescent="0.25">
      <c r="C656"/>
      <c r="D656"/>
      <c r="E656"/>
      <c r="F656"/>
      <c r="G656"/>
      <c r="H656"/>
      <c r="I656"/>
      <c r="J656"/>
      <c r="K656"/>
      <c r="L656"/>
      <c r="M656"/>
    </row>
    <row r="657" spans="3:13" x14ac:dyDescent="0.25">
      <c r="C657"/>
      <c r="D657"/>
      <c r="E657"/>
      <c r="F657"/>
      <c r="G657"/>
      <c r="H657"/>
      <c r="I657"/>
      <c r="J657"/>
      <c r="K657"/>
      <c r="L657"/>
      <c r="M657"/>
    </row>
    <row r="658" spans="3:13" x14ac:dyDescent="0.25">
      <c r="C658"/>
      <c r="D658"/>
      <c r="E658"/>
      <c r="F658"/>
      <c r="G658"/>
      <c r="H658"/>
      <c r="I658"/>
      <c r="J658"/>
      <c r="K658"/>
      <c r="L658"/>
      <c r="M658"/>
    </row>
    <row r="659" spans="3:13" x14ac:dyDescent="0.25">
      <c r="C659"/>
      <c r="D659"/>
      <c r="E659"/>
      <c r="F659"/>
      <c r="G659"/>
      <c r="H659"/>
      <c r="I659"/>
      <c r="J659"/>
      <c r="K659"/>
      <c r="L659"/>
      <c r="M659"/>
    </row>
    <row r="660" spans="3:13" x14ac:dyDescent="0.25">
      <c r="C660"/>
      <c r="D660"/>
      <c r="E660"/>
      <c r="F660"/>
      <c r="G660"/>
      <c r="H660"/>
      <c r="I660"/>
      <c r="J660"/>
      <c r="K660"/>
      <c r="L660"/>
      <c r="M660"/>
    </row>
    <row r="661" spans="3:13" x14ac:dyDescent="0.25">
      <c r="C661"/>
      <c r="D661"/>
      <c r="E661"/>
      <c r="F661"/>
      <c r="G661"/>
      <c r="H661"/>
      <c r="I661"/>
      <c r="J661"/>
      <c r="K661"/>
      <c r="L661"/>
      <c r="M661"/>
    </row>
    <row r="662" spans="3:13" x14ac:dyDescent="0.25">
      <c r="C662"/>
      <c r="D662"/>
      <c r="E662"/>
      <c r="F662"/>
      <c r="G662"/>
      <c r="H662"/>
      <c r="I662"/>
      <c r="J662"/>
      <c r="K662"/>
      <c r="L662"/>
      <c r="M662"/>
    </row>
    <row r="663" spans="3:13" x14ac:dyDescent="0.25">
      <c r="C663"/>
      <c r="D663"/>
      <c r="E663"/>
      <c r="F663"/>
      <c r="G663"/>
      <c r="H663"/>
      <c r="I663"/>
      <c r="J663"/>
      <c r="K663"/>
      <c r="L663"/>
      <c r="M663"/>
    </row>
    <row r="664" spans="3:13" x14ac:dyDescent="0.25">
      <c r="C664"/>
      <c r="D664"/>
      <c r="E664"/>
      <c r="F664"/>
      <c r="G664"/>
      <c r="H664"/>
      <c r="I664"/>
      <c r="J664"/>
      <c r="K664"/>
      <c r="L664"/>
      <c r="M664"/>
    </row>
    <row r="665" spans="3:13" x14ac:dyDescent="0.25">
      <c r="C665"/>
      <c r="D665"/>
      <c r="E665"/>
      <c r="F665"/>
      <c r="G665"/>
      <c r="H665"/>
      <c r="I665"/>
      <c r="J665"/>
      <c r="K665"/>
      <c r="L665"/>
      <c r="M665"/>
    </row>
    <row r="666" spans="3:13" x14ac:dyDescent="0.25">
      <c r="C666"/>
      <c r="D666"/>
      <c r="E666"/>
      <c r="F666"/>
      <c r="G666"/>
      <c r="H666"/>
      <c r="I666"/>
      <c r="J666"/>
      <c r="K666"/>
      <c r="L666"/>
      <c r="M666"/>
    </row>
    <row r="667" spans="3:13" x14ac:dyDescent="0.25">
      <c r="C667"/>
      <c r="D667"/>
      <c r="E667"/>
      <c r="F667"/>
      <c r="G667"/>
      <c r="H667"/>
      <c r="I667"/>
      <c r="J667"/>
      <c r="K667"/>
      <c r="L667"/>
      <c r="M667"/>
    </row>
    <row r="668" spans="3:13" x14ac:dyDescent="0.25">
      <c r="C668"/>
      <c r="D668"/>
      <c r="E668"/>
      <c r="F668"/>
      <c r="G668"/>
      <c r="H668"/>
      <c r="I668"/>
      <c r="J668"/>
      <c r="K668"/>
      <c r="L668"/>
      <c r="M668"/>
    </row>
    <row r="669" spans="3:13" x14ac:dyDescent="0.25">
      <c r="C669"/>
      <c r="D669"/>
      <c r="E669"/>
      <c r="F669"/>
      <c r="G669"/>
      <c r="H669"/>
      <c r="I669"/>
      <c r="J669"/>
      <c r="K669"/>
      <c r="L669"/>
      <c r="M669"/>
    </row>
    <row r="670" spans="3:13" x14ac:dyDescent="0.25">
      <c r="C670"/>
      <c r="D670"/>
      <c r="E670"/>
      <c r="F670"/>
      <c r="G670"/>
      <c r="H670"/>
      <c r="I670"/>
      <c r="J670"/>
      <c r="K670"/>
      <c r="L670"/>
      <c r="M670"/>
    </row>
    <row r="671" spans="3:13" x14ac:dyDescent="0.25">
      <c r="C671"/>
      <c r="D671"/>
      <c r="E671"/>
      <c r="F671"/>
      <c r="G671"/>
      <c r="H671"/>
      <c r="I671"/>
      <c r="J671"/>
      <c r="K671"/>
      <c r="L671"/>
      <c r="M671"/>
    </row>
    <row r="672" spans="3:13" x14ac:dyDescent="0.25">
      <c r="C672"/>
      <c r="D672"/>
      <c r="E672"/>
      <c r="F672"/>
      <c r="G672"/>
      <c r="H672"/>
      <c r="I672"/>
      <c r="J672"/>
      <c r="K672"/>
      <c r="L672"/>
      <c r="M672"/>
    </row>
    <row r="673" spans="3:13" x14ac:dyDescent="0.25">
      <c r="C673"/>
      <c r="D673"/>
      <c r="E673"/>
      <c r="F673"/>
      <c r="G673"/>
      <c r="H673"/>
      <c r="I673"/>
      <c r="J673"/>
      <c r="K673"/>
      <c r="L673"/>
      <c r="M673"/>
    </row>
    <row r="674" spans="3:13" x14ac:dyDescent="0.25">
      <c r="C674"/>
      <c r="D674"/>
      <c r="E674"/>
      <c r="F674"/>
      <c r="G674"/>
      <c r="H674"/>
      <c r="I674"/>
      <c r="J674"/>
      <c r="K674"/>
      <c r="L674"/>
      <c r="M674"/>
    </row>
    <row r="675" spans="3:13" x14ac:dyDescent="0.25">
      <c r="C675"/>
      <c r="D675"/>
      <c r="E675"/>
      <c r="F675"/>
      <c r="G675"/>
      <c r="H675"/>
      <c r="I675"/>
      <c r="J675"/>
      <c r="K675"/>
      <c r="L675"/>
      <c r="M675"/>
    </row>
    <row r="676" spans="3:13" x14ac:dyDescent="0.25">
      <c r="C676"/>
      <c r="D676"/>
      <c r="E676"/>
      <c r="F676"/>
      <c r="G676"/>
      <c r="H676"/>
      <c r="I676"/>
      <c r="J676"/>
      <c r="K676"/>
      <c r="L676"/>
      <c r="M676"/>
    </row>
    <row r="677" spans="3:13" x14ac:dyDescent="0.25">
      <c r="C677"/>
      <c r="D677"/>
      <c r="E677"/>
      <c r="F677"/>
      <c r="G677"/>
      <c r="H677"/>
      <c r="I677"/>
      <c r="J677"/>
      <c r="K677"/>
      <c r="L677"/>
      <c r="M677"/>
    </row>
    <row r="678" spans="3:13" x14ac:dyDescent="0.25">
      <c r="C678"/>
      <c r="D678"/>
      <c r="E678"/>
      <c r="F678"/>
      <c r="G678"/>
      <c r="H678"/>
      <c r="I678"/>
      <c r="J678"/>
      <c r="K678"/>
      <c r="L678"/>
      <c r="M678"/>
    </row>
    <row r="679" spans="3:13" x14ac:dyDescent="0.25">
      <c r="C679"/>
      <c r="D679"/>
      <c r="E679"/>
      <c r="F679"/>
      <c r="G679"/>
      <c r="H679"/>
      <c r="I679"/>
      <c r="J679"/>
      <c r="K679"/>
      <c r="L679"/>
      <c r="M679"/>
    </row>
    <row r="680" spans="3:13" x14ac:dyDescent="0.25">
      <c r="C680"/>
      <c r="D680"/>
      <c r="E680"/>
      <c r="F680"/>
      <c r="G680"/>
      <c r="H680"/>
      <c r="I680"/>
      <c r="J680"/>
      <c r="K680"/>
      <c r="L680"/>
      <c r="M680"/>
    </row>
    <row r="681" spans="3:13" x14ac:dyDescent="0.25">
      <c r="C681"/>
      <c r="D681"/>
      <c r="E681"/>
      <c r="F681"/>
      <c r="G681"/>
      <c r="H681"/>
      <c r="I681"/>
      <c r="J681"/>
      <c r="K681"/>
      <c r="L681"/>
      <c r="M681"/>
    </row>
    <row r="682" spans="3:13" x14ac:dyDescent="0.25">
      <c r="C682"/>
      <c r="D682"/>
      <c r="E682"/>
      <c r="F682"/>
      <c r="G682"/>
      <c r="H682"/>
      <c r="I682"/>
      <c r="J682"/>
      <c r="K682"/>
      <c r="L682"/>
      <c r="M682"/>
    </row>
    <row r="683" spans="3:13" x14ac:dyDescent="0.25">
      <c r="C683"/>
      <c r="D683"/>
      <c r="E683"/>
      <c r="F683"/>
      <c r="G683"/>
      <c r="H683"/>
      <c r="I683"/>
      <c r="J683"/>
      <c r="K683"/>
      <c r="L683"/>
      <c r="M683"/>
    </row>
    <row r="684" spans="3:13" x14ac:dyDescent="0.25">
      <c r="C684"/>
      <c r="D684"/>
      <c r="E684"/>
      <c r="F684"/>
      <c r="G684"/>
      <c r="H684"/>
      <c r="I684"/>
      <c r="J684"/>
      <c r="K684"/>
      <c r="L684"/>
      <c r="M684"/>
    </row>
    <row r="685" spans="3:13" x14ac:dyDescent="0.25">
      <c r="C685"/>
      <c r="D685"/>
      <c r="E685"/>
      <c r="F685"/>
      <c r="G685"/>
      <c r="H685"/>
      <c r="I685"/>
      <c r="J685"/>
      <c r="K685"/>
      <c r="L685"/>
      <c r="M685"/>
    </row>
    <row r="686" spans="3:13" x14ac:dyDescent="0.25">
      <c r="C686"/>
      <c r="D686"/>
      <c r="E686"/>
      <c r="F686"/>
      <c r="G686"/>
      <c r="H686"/>
      <c r="I686"/>
      <c r="J686"/>
      <c r="K686"/>
      <c r="L686"/>
      <c r="M686"/>
    </row>
    <row r="687" spans="3:13" x14ac:dyDescent="0.25">
      <c r="C687"/>
      <c r="D687"/>
      <c r="E687"/>
      <c r="F687"/>
      <c r="G687"/>
      <c r="H687"/>
      <c r="I687"/>
      <c r="J687"/>
      <c r="K687"/>
      <c r="L687"/>
      <c r="M687"/>
    </row>
    <row r="688" spans="3:13" x14ac:dyDescent="0.25">
      <c r="C688"/>
      <c r="D688"/>
      <c r="E688"/>
      <c r="F688"/>
      <c r="G688"/>
      <c r="H688"/>
      <c r="I688"/>
      <c r="J688"/>
      <c r="K688"/>
      <c r="L688"/>
      <c r="M688"/>
    </row>
    <row r="689" spans="3:13" x14ac:dyDescent="0.25">
      <c r="C689"/>
      <c r="D689"/>
      <c r="E689"/>
      <c r="F689"/>
      <c r="G689"/>
      <c r="H689"/>
      <c r="I689"/>
      <c r="J689"/>
      <c r="K689"/>
      <c r="L689"/>
      <c r="M689"/>
    </row>
    <row r="690" spans="3:13" x14ac:dyDescent="0.25">
      <c r="C690"/>
      <c r="D690"/>
      <c r="E690"/>
      <c r="F690"/>
      <c r="G690"/>
      <c r="H690"/>
      <c r="I690"/>
      <c r="J690"/>
      <c r="K690"/>
      <c r="L690"/>
      <c r="M690"/>
    </row>
    <row r="691" spans="3:13" x14ac:dyDescent="0.25">
      <c r="C691"/>
      <c r="D691"/>
      <c r="E691"/>
      <c r="F691"/>
      <c r="G691"/>
      <c r="H691"/>
      <c r="I691"/>
      <c r="J691"/>
      <c r="K691"/>
      <c r="L691"/>
      <c r="M691"/>
    </row>
    <row r="692" spans="3:13" x14ac:dyDescent="0.25">
      <c r="C692"/>
      <c r="D692"/>
      <c r="E692"/>
      <c r="F692"/>
      <c r="G692"/>
      <c r="H692"/>
      <c r="I692"/>
      <c r="J692"/>
      <c r="K692"/>
      <c r="L692"/>
      <c r="M692"/>
    </row>
    <row r="693" spans="3:13" x14ac:dyDescent="0.25">
      <c r="C693"/>
      <c r="D693"/>
      <c r="E693"/>
      <c r="F693"/>
      <c r="G693"/>
      <c r="H693"/>
      <c r="I693"/>
      <c r="J693"/>
      <c r="K693"/>
      <c r="L693"/>
      <c r="M693"/>
    </row>
    <row r="694" spans="3:13" x14ac:dyDescent="0.25">
      <c r="C694"/>
      <c r="D694"/>
      <c r="E694"/>
      <c r="F694"/>
      <c r="G694"/>
      <c r="H694"/>
      <c r="I694"/>
      <c r="J694"/>
      <c r="K694"/>
      <c r="L694"/>
      <c r="M694"/>
    </row>
    <row r="695" spans="3:13" x14ac:dyDescent="0.25">
      <c r="C695"/>
      <c r="D695"/>
      <c r="E695"/>
      <c r="F695"/>
      <c r="G695"/>
      <c r="H695"/>
      <c r="I695"/>
      <c r="J695"/>
      <c r="K695"/>
      <c r="L695"/>
      <c r="M695"/>
    </row>
    <row r="696" spans="3:13" x14ac:dyDescent="0.25">
      <c r="C696"/>
      <c r="D696"/>
      <c r="E696"/>
      <c r="F696"/>
      <c r="G696"/>
      <c r="H696"/>
      <c r="I696"/>
      <c r="J696"/>
      <c r="K696"/>
      <c r="L696"/>
      <c r="M696"/>
    </row>
    <row r="697" spans="3:13" x14ac:dyDescent="0.25">
      <c r="C697"/>
      <c r="D697"/>
      <c r="E697"/>
      <c r="F697"/>
      <c r="G697"/>
      <c r="H697"/>
      <c r="I697"/>
      <c r="J697"/>
      <c r="K697"/>
      <c r="L697"/>
      <c r="M697"/>
    </row>
    <row r="698" spans="3:13" x14ac:dyDescent="0.25">
      <c r="C698"/>
      <c r="D698"/>
      <c r="E698"/>
      <c r="F698"/>
      <c r="G698"/>
      <c r="H698"/>
      <c r="I698"/>
      <c r="J698"/>
      <c r="K698"/>
      <c r="L698"/>
      <c r="M698"/>
    </row>
    <row r="699" spans="3:13" x14ac:dyDescent="0.25">
      <c r="C699"/>
      <c r="D699"/>
      <c r="E699"/>
      <c r="F699"/>
      <c r="G699"/>
      <c r="H699"/>
      <c r="I699"/>
      <c r="J699"/>
      <c r="K699"/>
      <c r="L699"/>
      <c r="M699"/>
    </row>
    <row r="700" spans="3:13" x14ac:dyDescent="0.25">
      <c r="C700"/>
      <c r="D700"/>
      <c r="E700"/>
      <c r="F700"/>
      <c r="G700"/>
      <c r="H700"/>
      <c r="I700"/>
      <c r="J700"/>
      <c r="K700"/>
      <c r="L700"/>
      <c r="M700"/>
    </row>
    <row r="701" spans="3:13" x14ac:dyDescent="0.25">
      <c r="C701"/>
      <c r="D701"/>
      <c r="E701"/>
      <c r="F701"/>
      <c r="G701"/>
      <c r="H701"/>
      <c r="I701"/>
      <c r="J701"/>
      <c r="K701"/>
      <c r="L701"/>
      <c r="M701"/>
    </row>
    <row r="702" spans="3:13" x14ac:dyDescent="0.25">
      <c r="C702"/>
      <c r="D702"/>
      <c r="E702"/>
      <c r="F702"/>
      <c r="G702"/>
      <c r="H702"/>
      <c r="I702"/>
      <c r="J702"/>
      <c r="K702"/>
      <c r="L702"/>
      <c r="M702"/>
    </row>
    <row r="703" spans="3:13" x14ac:dyDescent="0.25">
      <c r="C703"/>
      <c r="D703"/>
      <c r="E703"/>
      <c r="F703"/>
      <c r="G703"/>
      <c r="H703"/>
      <c r="I703"/>
      <c r="J703"/>
      <c r="K703"/>
      <c r="L703"/>
      <c r="M703"/>
    </row>
    <row r="704" spans="3:13" x14ac:dyDescent="0.25">
      <c r="C704"/>
      <c r="D704"/>
      <c r="E704"/>
      <c r="F704"/>
      <c r="G704"/>
      <c r="H704"/>
      <c r="I704"/>
      <c r="J704"/>
      <c r="K704"/>
      <c r="L704"/>
      <c r="M704"/>
    </row>
    <row r="705" spans="3:13" x14ac:dyDescent="0.25">
      <c r="C705"/>
      <c r="D705"/>
      <c r="E705"/>
      <c r="F705"/>
      <c r="G705"/>
      <c r="H705"/>
      <c r="I705"/>
      <c r="J705"/>
      <c r="K705"/>
      <c r="L705"/>
      <c r="M705"/>
    </row>
    <row r="706" spans="3:13" x14ac:dyDescent="0.25">
      <c r="C706"/>
      <c r="D706"/>
      <c r="E706"/>
      <c r="F706"/>
      <c r="G706"/>
      <c r="H706"/>
      <c r="I706"/>
      <c r="J706"/>
      <c r="K706"/>
      <c r="L706"/>
      <c r="M706"/>
    </row>
    <row r="707" spans="3:13" x14ac:dyDescent="0.25">
      <c r="C707"/>
      <c r="D707"/>
      <c r="E707"/>
      <c r="F707"/>
      <c r="G707"/>
      <c r="H707"/>
      <c r="I707"/>
      <c r="J707"/>
      <c r="K707"/>
      <c r="L707"/>
      <c r="M707"/>
    </row>
    <row r="708" spans="3:13" x14ac:dyDescent="0.25">
      <c r="C708"/>
      <c r="D708"/>
      <c r="E708"/>
      <c r="F708"/>
      <c r="G708"/>
      <c r="H708"/>
      <c r="I708"/>
      <c r="J708"/>
      <c r="K708"/>
      <c r="L708"/>
      <c r="M708"/>
    </row>
    <row r="709" spans="3:13" x14ac:dyDescent="0.25">
      <c r="C709"/>
      <c r="D709"/>
      <c r="E709"/>
      <c r="F709"/>
      <c r="G709"/>
      <c r="H709"/>
      <c r="I709"/>
      <c r="J709"/>
      <c r="K709"/>
      <c r="L709"/>
      <c r="M709"/>
    </row>
    <row r="710" spans="3:13" x14ac:dyDescent="0.25">
      <c r="C710"/>
      <c r="D710"/>
      <c r="E710"/>
      <c r="F710"/>
      <c r="G710"/>
      <c r="H710"/>
      <c r="I710"/>
      <c r="J710"/>
      <c r="K710"/>
      <c r="L710"/>
      <c r="M710"/>
    </row>
    <row r="711" spans="3:13" x14ac:dyDescent="0.25">
      <c r="C711"/>
      <c r="D711"/>
      <c r="E711"/>
      <c r="F711"/>
      <c r="G711"/>
      <c r="H711"/>
      <c r="I711"/>
      <c r="J711"/>
      <c r="K711"/>
      <c r="L711"/>
      <c r="M711"/>
    </row>
    <row r="712" spans="3:13" x14ac:dyDescent="0.25">
      <c r="C712"/>
      <c r="D712"/>
      <c r="E712"/>
      <c r="F712"/>
      <c r="G712"/>
      <c r="H712"/>
      <c r="I712"/>
      <c r="J712"/>
      <c r="K712"/>
      <c r="L712"/>
      <c r="M712"/>
    </row>
    <row r="713" spans="3:13" x14ac:dyDescent="0.25">
      <c r="C713"/>
      <c r="D713"/>
      <c r="E713"/>
      <c r="F713"/>
      <c r="G713"/>
      <c r="H713"/>
      <c r="I713"/>
      <c r="J713"/>
      <c r="K713"/>
      <c r="L713"/>
      <c r="M713"/>
    </row>
    <row r="714" spans="3:13" x14ac:dyDescent="0.25">
      <c r="C714"/>
      <c r="D714"/>
      <c r="E714"/>
      <c r="F714"/>
      <c r="G714"/>
      <c r="H714"/>
      <c r="I714"/>
      <c r="J714"/>
      <c r="K714"/>
      <c r="L714"/>
      <c r="M714"/>
    </row>
    <row r="715" spans="3:13" x14ac:dyDescent="0.25">
      <c r="C715"/>
      <c r="D715"/>
      <c r="E715"/>
      <c r="F715"/>
      <c r="G715"/>
      <c r="H715"/>
      <c r="I715"/>
      <c r="J715"/>
      <c r="K715"/>
      <c r="L715"/>
      <c r="M715"/>
    </row>
    <row r="716" spans="3:13" x14ac:dyDescent="0.25">
      <c r="C716"/>
      <c r="D716"/>
      <c r="E716"/>
      <c r="F716"/>
      <c r="G716"/>
      <c r="H716"/>
      <c r="I716"/>
      <c r="J716"/>
      <c r="K716"/>
      <c r="L716"/>
      <c r="M716"/>
    </row>
    <row r="717" spans="3:13" x14ac:dyDescent="0.25">
      <c r="C717"/>
      <c r="D717"/>
      <c r="E717"/>
      <c r="F717"/>
      <c r="G717"/>
      <c r="H717"/>
      <c r="I717"/>
      <c r="J717"/>
      <c r="K717"/>
      <c r="L717"/>
      <c r="M717"/>
    </row>
    <row r="718" spans="3:13" x14ac:dyDescent="0.25">
      <c r="C718"/>
      <c r="D718"/>
      <c r="E718"/>
      <c r="F718"/>
      <c r="G718"/>
      <c r="H718"/>
      <c r="I718"/>
      <c r="J718"/>
      <c r="K718"/>
      <c r="L718"/>
      <c r="M718"/>
    </row>
    <row r="719" spans="3:13" x14ac:dyDescent="0.25">
      <c r="C719"/>
      <c r="D719"/>
      <c r="E719"/>
      <c r="F719"/>
      <c r="G719"/>
      <c r="H719"/>
      <c r="I719"/>
      <c r="J719"/>
      <c r="K719"/>
      <c r="L719"/>
      <c r="M719"/>
    </row>
    <row r="720" spans="3:13" x14ac:dyDescent="0.25">
      <c r="C720"/>
      <c r="D720"/>
      <c r="E720"/>
      <c r="F720"/>
      <c r="G720"/>
      <c r="H720"/>
      <c r="I720"/>
      <c r="J720"/>
      <c r="K720"/>
      <c r="L720"/>
      <c r="M720"/>
    </row>
    <row r="721" spans="3:13" x14ac:dyDescent="0.25">
      <c r="C721"/>
      <c r="D721"/>
      <c r="E721"/>
      <c r="F721"/>
      <c r="G721"/>
      <c r="H721"/>
      <c r="I721"/>
      <c r="J721"/>
      <c r="K721"/>
      <c r="L721"/>
      <c r="M721"/>
    </row>
    <row r="722" spans="3:13" x14ac:dyDescent="0.25">
      <c r="C722"/>
      <c r="D722"/>
      <c r="E722"/>
      <c r="F722"/>
      <c r="G722"/>
      <c r="H722"/>
      <c r="I722"/>
      <c r="J722"/>
      <c r="K722"/>
      <c r="L722"/>
      <c r="M722"/>
    </row>
    <row r="723" spans="3:13" x14ac:dyDescent="0.25">
      <c r="C723"/>
      <c r="D723"/>
      <c r="E723"/>
      <c r="F723"/>
      <c r="G723"/>
      <c r="H723"/>
      <c r="I723"/>
      <c r="J723"/>
      <c r="K723"/>
      <c r="L723"/>
      <c r="M723"/>
    </row>
    <row r="724" spans="3:13" x14ac:dyDescent="0.25">
      <c r="C724"/>
      <c r="D724"/>
      <c r="E724"/>
      <c r="F724"/>
      <c r="G724"/>
      <c r="H724"/>
      <c r="I724"/>
      <c r="J724"/>
      <c r="K724"/>
      <c r="L724"/>
      <c r="M724"/>
    </row>
    <row r="725" spans="3:13" x14ac:dyDescent="0.25">
      <c r="C725"/>
      <c r="D725"/>
      <c r="E725"/>
      <c r="F725"/>
      <c r="G725"/>
      <c r="H725"/>
      <c r="I725"/>
      <c r="J725"/>
      <c r="K725"/>
      <c r="L725"/>
      <c r="M725"/>
    </row>
    <row r="726" spans="3:13" x14ac:dyDescent="0.25">
      <c r="C726"/>
      <c r="D726"/>
      <c r="E726"/>
      <c r="F726"/>
      <c r="G726"/>
      <c r="H726"/>
      <c r="I726"/>
      <c r="J726"/>
      <c r="K726"/>
      <c r="L726"/>
      <c r="M726"/>
    </row>
    <row r="727" spans="3:13" x14ac:dyDescent="0.25">
      <c r="C727"/>
      <c r="D727"/>
      <c r="E727"/>
      <c r="F727"/>
      <c r="G727"/>
      <c r="H727"/>
      <c r="I727"/>
      <c r="J727"/>
      <c r="K727"/>
      <c r="L727"/>
      <c r="M727"/>
    </row>
    <row r="728" spans="3:13" x14ac:dyDescent="0.25">
      <c r="C728"/>
      <c r="D728"/>
      <c r="E728"/>
      <c r="F728"/>
      <c r="G728"/>
      <c r="H728"/>
      <c r="I728"/>
      <c r="J728"/>
      <c r="K728"/>
      <c r="L728"/>
      <c r="M728"/>
    </row>
    <row r="729" spans="3:13" x14ac:dyDescent="0.25">
      <c r="C729"/>
      <c r="D729"/>
      <c r="E729"/>
      <c r="F729"/>
      <c r="G729"/>
      <c r="H729"/>
      <c r="I729"/>
      <c r="J729"/>
      <c r="K729"/>
      <c r="L729"/>
      <c r="M729"/>
    </row>
    <row r="730" spans="3:13" x14ac:dyDescent="0.25">
      <c r="C730"/>
      <c r="D730"/>
      <c r="E730"/>
      <c r="F730"/>
      <c r="G730"/>
      <c r="H730"/>
      <c r="I730"/>
      <c r="J730"/>
      <c r="K730"/>
      <c r="L730"/>
      <c r="M730"/>
    </row>
    <row r="731" spans="3:13" x14ac:dyDescent="0.25">
      <c r="C731"/>
      <c r="D731"/>
      <c r="E731"/>
      <c r="F731"/>
      <c r="G731"/>
      <c r="H731"/>
      <c r="I731"/>
      <c r="J731"/>
      <c r="K731"/>
      <c r="L731"/>
      <c r="M731"/>
    </row>
    <row r="732" spans="3:13" x14ac:dyDescent="0.25">
      <c r="C732"/>
      <c r="D732"/>
      <c r="E732"/>
      <c r="F732"/>
      <c r="G732"/>
      <c r="H732"/>
      <c r="I732"/>
      <c r="J732"/>
      <c r="K732"/>
      <c r="L732"/>
      <c r="M732"/>
    </row>
    <row r="733" spans="3:13" x14ac:dyDescent="0.25">
      <c r="C733"/>
      <c r="D733"/>
      <c r="E733"/>
      <c r="F733"/>
      <c r="G733"/>
      <c r="H733"/>
      <c r="I733"/>
      <c r="J733"/>
      <c r="K733"/>
      <c r="L733"/>
      <c r="M733"/>
    </row>
    <row r="734" spans="3:13" x14ac:dyDescent="0.25">
      <c r="C734"/>
      <c r="D734"/>
      <c r="E734"/>
      <c r="F734"/>
      <c r="G734"/>
      <c r="H734"/>
      <c r="I734"/>
      <c r="J734"/>
      <c r="K734"/>
      <c r="L734"/>
      <c r="M734"/>
    </row>
    <row r="735" spans="3:13" x14ac:dyDescent="0.25">
      <c r="C735"/>
      <c r="D735"/>
      <c r="E735"/>
      <c r="F735"/>
      <c r="G735"/>
      <c r="H735"/>
      <c r="I735"/>
      <c r="J735"/>
      <c r="K735"/>
      <c r="L735"/>
      <c r="M735"/>
    </row>
    <row r="736" spans="3:13" x14ac:dyDescent="0.25">
      <c r="C736"/>
      <c r="D736"/>
      <c r="E736"/>
      <c r="F736"/>
      <c r="G736"/>
      <c r="H736"/>
      <c r="I736"/>
      <c r="J736"/>
      <c r="K736"/>
      <c r="L736"/>
      <c r="M736"/>
    </row>
    <row r="737" spans="3:13" x14ac:dyDescent="0.25">
      <c r="C737"/>
      <c r="D737"/>
      <c r="E737"/>
      <c r="F737"/>
      <c r="G737"/>
      <c r="H737"/>
      <c r="I737"/>
      <c r="J737"/>
      <c r="K737"/>
      <c r="L737"/>
      <c r="M737"/>
    </row>
    <row r="738" spans="3:13" x14ac:dyDescent="0.25">
      <c r="C738"/>
      <c r="D738"/>
      <c r="E738"/>
      <c r="F738"/>
      <c r="G738"/>
      <c r="H738"/>
      <c r="I738"/>
      <c r="J738"/>
      <c r="K738"/>
      <c r="L738"/>
      <c r="M738"/>
    </row>
    <row r="739" spans="3:13" x14ac:dyDescent="0.25">
      <c r="C739"/>
      <c r="D739"/>
      <c r="E739"/>
      <c r="F739"/>
      <c r="G739"/>
      <c r="H739"/>
      <c r="I739"/>
      <c r="J739"/>
      <c r="K739"/>
      <c r="L739"/>
      <c r="M739"/>
    </row>
    <row r="740" spans="3:13" x14ac:dyDescent="0.25">
      <c r="C740"/>
      <c r="D740"/>
      <c r="E740"/>
      <c r="F740"/>
      <c r="G740"/>
      <c r="H740"/>
      <c r="I740"/>
      <c r="J740"/>
      <c r="K740"/>
      <c r="L740"/>
      <c r="M740"/>
    </row>
    <row r="741" spans="3:13" x14ac:dyDescent="0.25">
      <c r="C741"/>
      <c r="D741"/>
      <c r="E741"/>
      <c r="F741"/>
      <c r="G741"/>
      <c r="H741"/>
      <c r="I741"/>
      <c r="J741"/>
      <c r="K741"/>
      <c r="L741"/>
      <c r="M741"/>
    </row>
    <row r="742" spans="3:13" x14ac:dyDescent="0.25">
      <c r="C742"/>
      <c r="D742"/>
      <c r="E742"/>
      <c r="F742"/>
      <c r="G742"/>
      <c r="H742"/>
      <c r="I742"/>
      <c r="J742"/>
      <c r="K742"/>
      <c r="L742"/>
      <c r="M742"/>
    </row>
    <row r="743" spans="3:13" x14ac:dyDescent="0.25">
      <c r="C743"/>
      <c r="D743"/>
      <c r="E743"/>
      <c r="F743"/>
      <c r="G743"/>
      <c r="H743"/>
      <c r="I743"/>
      <c r="J743"/>
      <c r="K743"/>
      <c r="L743"/>
      <c r="M743"/>
    </row>
    <row r="744" spans="3:13" x14ac:dyDescent="0.25">
      <c r="C744"/>
      <c r="D744"/>
      <c r="E744"/>
      <c r="F744"/>
      <c r="G744"/>
      <c r="H744"/>
      <c r="I744"/>
      <c r="J744"/>
      <c r="K744"/>
      <c r="L744"/>
      <c r="M744"/>
    </row>
    <row r="745" spans="3:13" x14ac:dyDescent="0.25">
      <c r="C745"/>
      <c r="D745"/>
      <c r="E745"/>
      <c r="F745"/>
      <c r="G745"/>
      <c r="H745"/>
      <c r="I745"/>
      <c r="J745"/>
      <c r="K745"/>
      <c r="L745"/>
      <c r="M745"/>
    </row>
    <row r="746" spans="3:13" x14ac:dyDescent="0.25">
      <c r="C746"/>
      <c r="D746"/>
      <c r="E746"/>
      <c r="F746"/>
      <c r="G746"/>
      <c r="H746"/>
      <c r="I746"/>
      <c r="J746"/>
      <c r="K746"/>
      <c r="L746"/>
      <c r="M746"/>
    </row>
    <row r="747" spans="3:13" x14ac:dyDescent="0.25">
      <c r="C747"/>
      <c r="D747"/>
      <c r="E747"/>
      <c r="F747"/>
      <c r="G747"/>
      <c r="H747"/>
      <c r="I747"/>
      <c r="J747"/>
      <c r="K747"/>
      <c r="L747"/>
      <c r="M747"/>
    </row>
    <row r="748" spans="3:13" x14ac:dyDescent="0.25">
      <c r="C748"/>
      <c r="D748"/>
      <c r="E748"/>
      <c r="F748"/>
      <c r="G748"/>
      <c r="H748"/>
      <c r="I748"/>
      <c r="J748"/>
      <c r="K748"/>
      <c r="L748"/>
      <c r="M748"/>
    </row>
    <row r="749" spans="3:13" x14ac:dyDescent="0.25">
      <c r="C749"/>
      <c r="D749"/>
      <c r="E749"/>
      <c r="F749"/>
      <c r="G749"/>
      <c r="H749"/>
      <c r="I749"/>
      <c r="J749"/>
      <c r="K749"/>
      <c r="L749"/>
      <c r="M749"/>
    </row>
    <row r="750" spans="3:13" x14ac:dyDescent="0.25">
      <c r="C750"/>
      <c r="D750"/>
      <c r="E750"/>
      <c r="F750"/>
      <c r="G750"/>
      <c r="H750"/>
      <c r="I750"/>
      <c r="J750"/>
      <c r="K750"/>
      <c r="L750"/>
      <c r="M750"/>
    </row>
    <row r="751" spans="3:13" x14ac:dyDescent="0.25">
      <c r="C751"/>
      <c r="D751"/>
      <c r="E751"/>
      <c r="F751"/>
      <c r="G751"/>
      <c r="H751"/>
      <c r="I751"/>
      <c r="J751"/>
      <c r="K751"/>
      <c r="L751"/>
      <c r="M751"/>
    </row>
    <row r="752" spans="3:13" x14ac:dyDescent="0.25">
      <c r="C752"/>
      <c r="D752"/>
      <c r="E752"/>
      <c r="F752"/>
      <c r="G752"/>
      <c r="H752"/>
      <c r="I752"/>
      <c r="J752"/>
      <c r="K752"/>
      <c r="L752"/>
      <c r="M752"/>
    </row>
    <row r="753" spans="3:13" x14ac:dyDescent="0.25">
      <c r="C753"/>
      <c r="D753"/>
      <c r="E753"/>
      <c r="F753"/>
      <c r="G753"/>
      <c r="H753"/>
      <c r="I753"/>
      <c r="J753"/>
      <c r="K753"/>
      <c r="L753"/>
      <c r="M753"/>
    </row>
    <row r="754" spans="3:13" x14ac:dyDescent="0.25">
      <c r="C754"/>
      <c r="D754"/>
      <c r="E754"/>
      <c r="F754"/>
      <c r="G754"/>
      <c r="H754"/>
      <c r="I754"/>
      <c r="J754"/>
      <c r="K754"/>
      <c r="L754"/>
      <c r="M754"/>
    </row>
    <row r="755" spans="3:13" x14ac:dyDescent="0.25">
      <c r="C755"/>
      <c r="D755"/>
      <c r="E755"/>
      <c r="F755"/>
      <c r="G755"/>
      <c r="H755"/>
      <c r="I755"/>
      <c r="J755"/>
      <c r="K755"/>
      <c r="L755"/>
      <c r="M755"/>
    </row>
    <row r="756" spans="3:13" x14ac:dyDescent="0.25">
      <c r="C756"/>
      <c r="D756"/>
      <c r="E756"/>
      <c r="F756"/>
      <c r="G756"/>
      <c r="H756"/>
      <c r="I756"/>
      <c r="J756"/>
      <c r="K756"/>
      <c r="L756"/>
      <c r="M756"/>
    </row>
    <row r="757" spans="3:13" x14ac:dyDescent="0.25">
      <c r="C757"/>
      <c r="D757"/>
      <c r="E757"/>
      <c r="F757"/>
      <c r="G757"/>
      <c r="H757"/>
      <c r="I757"/>
      <c r="J757"/>
      <c r="K757"/>
      <c r="L757"/>
      <c r="M757"/>
    </row>
    <row r="758" spans="3:13" x14ac:dyDescent="0.25">
      <c r="C758"/>
      <c r="D758"/>
      <c r="E758"/>
      <c r="F758"/>
      <c r="G758"/>
      <c r="H758"/>
      <c r="I758"/>
      <c r="J758"/>
      <c r="K758"/>
      <c r="L758"/>
      <c r="M758"/>
    </row>
    <row r="759" spans="3:13" x14ac:dyDescent="0.25">
      <c r="C759"/>
      <c r="D759"/>
      <c r="E759"/>
      <c r="F759"/>
      <c r="G759"/>
      <c r="H759"/>
      <c r="I759"/>
      <c r="J759"/>
      <c r="K759"/>
      <c r="L759"/>
      <c r="M759"/>
    </row>
    <row r="760" spans="3:13" x14ac:dyDescent="0.25">
      <c r="C760"/>
      <c r="D760"/>
      <c r="E760"/>
      <c r="F760"/>
      <c r="G760"/>
      <c r="H760"/>
      <c r="I760"/>
      <c r="J760"/>
      <c r="K760"/>
      <c r="L760"/>
      <c r="M760"/>
    </row>
    <row r="761" spans="3:13" x14ac:dyDescent="0.25">
      <c r="C761"/>
      <c r="D761"/>
      <c r="E761"/>
      <c r="F761"/>
      <c r="G761"/>
      <c r="H761"/>
      <c r="I761"/>
      <c r="J761"/>
      <c r="K761"/>
      <c r="L761"/>
      <c r="M761"/>
    </row>
    <row r="762" spans="3:13" x14ac:dyDescent="0.25">
      <c r="C762"/>
      <c r="D762"/>
      <c r="E762"/>
      <c r="F762"/>
      <c r="G762"/>
      <c r="H762"/>
      <c r="I762"/>
      <c r="J762"/>
      <c r="K762"/>
      <c r="L762"/>
      <c r="M762"/>
    </row>
    <row r="763" spans="3:13" x14ac:dyDescent="0.25">
      <c r="C763"/>
      <c r="D763"/>
      <c r="E763"/>
      <c r="F763"/>
      <c r="G763"/>
      <c r="H763"/>
      <c r="I763"/>
      <c r="J763"/>
      <c r="K763"/>
      <c r="L763"/>
      <c r="M763"/>
    </row>
    <row r="764" spans="3:13" x14ac:dyDescent="0.25">
      <c r="C764"/>
      <c r="D764"/>
      <c r="E764"/>
      <c r="F764"/>
      <c r="G764"/>
      <c r="H764"/>
      <c r="I764"/>
      <c r="J764"/>
      <c r="K764"/>
      <c r="L764"/>
      <c r="M764"/>
    </row>
    <row r="765" spans="3:13" x14ac:dyDescent="0.25">
      <c r="C765"/>
      <c r="D765"/>
      <c r="E765"/>
      <c r="F765"/>
      <c r="G765"/>
      <c r="H765"/>
      <c r="I765"/>
      <c r="J765"/>
      <c r="K765"/>
      <c r="L765"/>
      <c r="M765"/>
    </row>
    <row r="766" spans="3:13" x14ac:dyDescent="0.25">
      <c r="C766"/>
      <c r="D766"/>
      <c r="E766"/>
      <c r="F766"/>
      <c r="G766"/>
      <c r="H766"/>
      <c r="I766"/>
      <c r="J766"/>
      <c r="K766"/>
      <c r="L766"/>
      <c r="M766"/>
    </row>
    <row r="767" spans="3:13" x14ac:dyDescent="0.25">
      <c r="C767"/>
      <c r="D767"/>
      <c r="E767"/>
      <c r="F767"/>
      <c r="G767"/>
      <c r="H767"/>
      <c r="I767"/>
      <c r="J767"/>
      <c r="K767"/>
      <c r="L767"/>
      <c r="M767"/>
    </row>
    <row r="768" spans="3:13" x14ac:dyDescent="0.25">
      <c r="C768"/>
      <c r="D768"/>
      <c r="E768"/>
      <c r="F768"/>
      <c r="G768"/>
      <c r="H768"/>
      <c r="I768"/>
      <c r="J768"/>
      <c r="K768"/>
      <c r="L768"/>
      <c r="M768"/>
    </row>
    <row r="769" spans="3:13" x14ac:dyDescent="0.25">
      <c r="C769"/>
      <c r="D769"/>
      <c r="E769"/>
      <c r="F769"/>
      <c r="G769"/>
      <c r="H769"/>
      <c r="I769"/>
      <c r="J769"/>
      <c r="K769"/>
      <c r="L769"/>
      <c r="M769"/>
    </row>
    <row r="770" spans="3:13" x14ac:dyDescent="0.25">
      <c r="C770"/>
      <c r="D770"/>
      <c r="E770"/>
      <c r="F770"/>
      <c r="G770"/>
      <c r="H770"/>
      <c r="I770"/>
      <c r="J770"/>
      <c r="K770"/>
      <c r="L770"/>
      <c r="M770"/>
    </row>
    <row r="771" spans="3:13" x14ac:dyDescent="0.25">
      <c r="C771"/>
      <c r="D771"/>
      <c r="E771"/>
      <c r="F771"/>
      <c r="G771"/>
      <c r="H771"/>
      <c r="I771"/>
      <c r="J771"/>
      <c r="K771"/>
      <c r="L771"/>
      <c r="M771"/>
    </row>
    <row r="772" spans="3:13" x14ac:dyDescent="0.25">
      <c r="C772"/>
      <c r="D772"/>
      <c r="E772"/>
      <c r="F772"/>
      <c r="G772"/>
      <c r="H772"/>
      <c r="I772"/>
      <c r="J772"/>
      <c r="K772"/>
      <c r="L772"/>
      <c r="M772"/>
    </row>
    <row r="773" spans="3:13" x14ac:dyDescent="0.25">
      <c r="C773"/>
      <c r="D773"/>
      <c r="E773"/>
      <c r="F773"/>
      <c r="G773"/>
      <c r="H773"/>
      <c r="I773"/>
      <c r="J773"/>
      <c r="K773"/>
      <c r="L773"/>
      <c r="M773"/>
    </row>
    <row r="774" spans="3:13" x14ac:dyDescent="0.25">
      <c r="C774"/>
      <c r="D774"/>
      <c r="E774"/>
      <c r="F774"/>
      <c r="G774"/>
      <c r="H774"/>
      <c r="I774"/>
      <c r="J774"/>
      <c r="K774"/>
      <c r="L774"/>
      <c r="M774"/>
    </row>
    <row r="775" spans="3:13" x14ac:dyDescent="0.25">
      <c r="C775"/>
      <c r="D775"/>
      <c r="E775"/>
      <c r="F775"/>
      <c r="G775"/>
      <c r="H775"/>
      <c r="I775"/>
      <c r="J775"/>
      <c r="K775"/>
      <c r="L775"/>
      <c r="M775"/>
    </row>
    <row r="776" spans="3:13" x14ac:dyDescent="0.25">
      <c r="C776"/>
      <c r="D776"/>
      <c r="E776"/>
      <c r="F776"/>
      <c r="G776"/>
      <c r="H776"/>
      <c r="I776"/>
      <c r="J776"/>
      <c r="K776"/>
      <c r="L776"/>
      <c r="M776"/>
    </row>
    <row r="777" spans="3:13" x14ac:dyDescent="0.25">
      <c r="C777"/>
      <c r="D777"/>
      <c r="E777"/>
      <c r="F777"/>
      <c r="G777"/>
      <c r="H777"/>
      <c r="I777"/>
      <c r="J777"/>
      <c r="K777"/>
      <c r="L777"/>
      <c r="M777"/>
    </row>
    <row r="778" spans="3:13" x14ac:dyDescent="0.25">
      <c r="C778"/>
      <c r="D778"/>
      <c r="E778"/>
      <c r="F778"/>
      <c r="G778"/>
      <c r="H778"/>
      <c r="I778"/>
      <c r="J778"/>
      <c r="K778"/>
      <c r="L778"/>
      <c r="M778"/>
    </row>
    <row r="779" spans="3:13" x14ac:dyDescent="0.25">
      <c r="C779"/>
      <c r="D779"/>
      <c r="E779"/>
      <c r="F779"/>
      <c r="G779"/>
      <c r="H779"/>
      <c r="I779"/>
      <c r="J779"/>
      <c r="K779"/>
      <c r="L779"/>
      <c r="M779"/>
    </row>
    <row r="780" spans="3:13" x14ac:dyDescent="0.25">
      <c r="C780"/>
      <c r="D780"/>
      <c r="E780"/>
      <c r="F780"/>
      <c r="G780"/>
      <c r="H780"/>
      <c r="I780"/>
      <c r="J780"/>
      <c r="K780"/>
      <c r="L780"/>
      <c r="M780"/>
    </row>
    <row r="781" spans="3:13" x14ac:dyDescent="0.25">
      <c r="C781"/>
      <c r="D781"/>
      <c r="E781"/>
      <c r="F781"/>
      <c r="G781"/>
      <c r="H781"/>
      <c r="I781"/>
      <c r="J781"/>
      <c r="K781"/>
      <c r="L781"/>
      <c r="M781"/>
    </row>
    <row r="782" spans="3:13" x14ac:dyDescent="0.25">
      <c r="C782"/>
      <c r="D782"/>
      <c r="E782"/>
      <c r="F782"/>
      <c r="G782"/>
      <c r="H782"/>
      <c r="I782"/>
      <c r="J782"/>
      <c r="K782"/>
      <c r="L782"/>
      <c r="M782"/>
    </row>
    <row r="783" spans="3:13" x14ac:dyDescent="0.25">
      <c r="C783"/>
      <c r="D783"/>
      <c r="E783"/>
      <c r="F783"/>
      <c r="G783"/>
      <c r="H783"/>
      <c r="I783"/>
      <c r="J783"/>
      <c r="K783"/>
      <c r="L783"/>
      <c r="M783"/>
    </row>
    <row r="784" spans="3:13" x14ac:dyDescent="0.25">
      <c r="C784"/>
      <c r="D784"/>
      <c r="E784"/>
      <c r="F784"/>
      <c r="G784"/>
      <c r="H784"/>
      <c r="I784"/>
      <c r="J784"/>
      <c r="K784"/>
      <c r="L784"/>
      <c r="M784"/>
    </row>
    <row r="785" spans="3:13" x14ac:dyDescent="0.25">
      <c r="C785"/>
      <c r="D785"/>
      <c r="E785"/>
      <c r="F785"/>
      <c r="G785"/>
      <c r="H785"/>
      <c r="I785"/>
      <c r="J785"/>
      <c r="K785"/>
      <c r="L785"/>
      <c r="M785"/>
    </row>
    <row r="786" spans="3:13" x14ac:dyDescent="0.25">
      <c r="C786"/>
      <c r="D786"/>
      <c r="E786"/>
      <c r="F786"/>
      <c r="G786"/>
      <c r="H786"/>
      <c r="I786"/>
      <c r="J786"/>
      <c r="K786"/>
      <c r="L786"/>
      <c r="M786"/>
    </row>
    <row r="787" spans="3:13" x14ac:dyDescent="0.25">
      <c r="C787"/>
      <c r="D787"/>
      <c r="E787"/>
      <c r="F787"/>
      <c r="G787"/>
      <c r="H787"/>
      <c r="I787"/>
      <c r="J787"/>
      <c r="K787"/>
      <c r="L787"/>
      <c r="M787"/>
    </row>
    <row r="788" spans="3:13" x14ac:dyDescent="0.25">
      <c r="C788"/>
      <c r="D788"/>
      <c r="E788"/>
      <c r="F788"/>
      <c r="G788"/>
      <c r="H788"/>
      <c r="I788"/>
      <c r="J788"/>
      <c r="K788"/>
      <c r="L788"/>
      <c r="M788"/>
    </row>
    <row r="789" spans="3:13" x14ac:dyDescent="0.25">
      <c r="C789"/>
      <c r="D789"/>
      <c r="E789"/>
      <c r="F789"/>
      <c r="G789"/>
      <c r="H789"/>
      <c r="I789"/>
      <c r="J789"/>
      <c r="K789"/>
      <c r="L789"/>
      <c r="M789"/>
    </row>
    <row r="790" spans="3:13" x14ac:dyDescent="0.25">
      <c r="C790"/>
      <c r="D790"/>
      <c r="E790"/>
      <c r="F790"/>
      <c r="G790"/>
      <c r="H790"/>
      <c r="I790"/>
      <c r="J790"/>
      <c r="K790"/>
      <c r="L790"/>
      <c r="M790"/>
    </row>
    <row r="791" spans="3:13" x14ac:dyDescent="0.25">
      <c r="C791"/>
      <c r="D791"/>
      <c r="E791"/>
      <c r="F791"/>
      <c r="G791"/>
      <c r="H791"/>
      <c r="I791"/>
      <c r="J791"/>
      <c r="K791"/>
      <c r="L791"/>
      <c r="M791"/>
    </row>
    <row r="792" spans="3:13" x14ac:dyDescent="0.25">
      <c r="C792"/>
      <c r="D792"/>
      <c r="E792"/>
      <c r="F792"/>
      <c r="G792"/>
      <c r="H792"/>
      <c r="I792"/>
      <c r="J792"/>
      <c r="K792"/>
      <c r="L792"/>
      <c r="M792"/>
    </row>
    <row r="793" spans="3:13" x14ac:dyDescent="0.25">
      <c r="C793"/>
      <c r="D793"/>
      <c r="E793"/>
      <c r="F793"/>
      <c r="G793"/>
      <c r="H793"/>
      <c r="I793"/>
      <c r="J793"/>
      <c r="K793"/>
      <c r="L793"/>
      <c r="M793"/>
    </row>
    <row r="794" spans="3:13" x14ac:dyDescent="0.25">
      <c r="C794"/>
      <c r="D794"/>
      <c r="E794"/>
      <c r="F794"/>
      <c r="G794"/>
      <c r="H794"/>
      <c r="I794"/>
      <c r="J794"/>
      <c r="K794"/>
      <c r="L794"/>
      <c r="M794"/>
    </row>
    <row r="795" spans="3:13" x14ac:dyDescent="0.25">
      <c r="C795"/>
      <c r="D795"/>
      <c r="E795"/>
      <c r="F795"/>
      <c r="G795"/>
      <c r="H795"/>
      <c r="I795"/>
      <c r="J795"/>
      <c r="K795"/>
      <c r="L795"/>
      <c r="M795"/>
    </row>
    <row r="796" spans="3:13" x14ac:dyDescent="0.25">
      <c r="C796"/>
      <c r="D796"/>
      <c r="E796"/>
      <c r="F796"/>
      <c r="G796"/>
      <c r="H796"/>
      <c r="I796"/>
      <c r="J796"/>
      <c r="K796"/>
      <c r="L796"/>
      <c r="M796"/>
    </row>
    <row r="797" spans="3:13" x14ac:dyDescent="0.25">
      <c r="C797"/>
      <c r="D797"/>
      <c r="E797"/>
      <c r="F797"/>
      <c r="G797"/>
      <c r="H797"/>
      <c r="I797"/>
      <c r="J797"/>
      <c r="K797"/>
      <c r="L797"/>
      <c r="M797"/>
    </row>
    <row r="798" spans="3:13" x14ac:dyDescent="0.25">
      <c r="C798"/>
      <c r="D798"/>
      <c r="E798"/>
      <c r="F798"/>
      <c r="G798"/>
      <c r="H798"/>
      <c r="I798"/>
      <c r="J798"/>
      <c r="K798"/>
      <c r="L798"/>
      <c r="M798"/>
    </row>
    <row r="799" spans="3:13" x14ac:dyDescent="0.25">
      <c r="C799"/>
      <c r="D799"/>
      <c r="E799"/>
      <c r="F799"/>
      <c r="G799"/>
      <c r="H799"/>
      <c r="I799"/>
      <c r="J799"/>
      <c r="K799"/>
      <c r="L799"/>
      <c r="M799"/>
    </row>
    <row r="800" spans="3:13" x14ac:dyDescent="0.25">
      <c r="C800"/>
      <c r="D800"/>
      <c r="E800"/>
      <c r="F800"/>
      <c r="G800"/>
      <c r="H800"/>
      <c r="I800"/>
      <c r="J800"/>
      <c r="K800"/>
      <c r="L800"/>
      <c r="M800"/>
    </row>
    <row r="801" spans="3:13" x14ac:dyDescent="0.25">
      <c r="C801"/>
      <c r="D801"/>
      <c r="E801"/>
      <c r="F801"/>
      <c r="G801"/>
      <c r="H801"/>
      <c r="I801"/>
      <c r="J801"/>
      <c r="K801"/>
      <c r="L801"/>
      <c r="M801"/>
    </row>
    <row r="802" spans="3:13" x14ac:dyDescent="0.25">
      <c r="C802"/>
      <c r="D802"/>
      <c r="E802"/>
      <c r="F802"/>
      <c r="G802"/>
      <c r="H802"/>
      <c r="I802"/>
      <c r="J802"/>
      <c r="K802"/>
      <c r="L802"/>
      <c r="M802"/>
    </row>
    <row r="803" spans="3:13" x14ac:dyDescent="0.25">
      <c r="C803"/>
      <c r="D803"/>
      <c r="E803"/>
      <c r="F803"/>
      <c r="G803"/>
      <c r="H803"/>
      <c r="I803"/>
      <c r="J803"/>
      <c r="K803"/>
      <c r="L803"/>
      <c r="M803"/>
    </row>
    <row r="804" spans="3:13" x14ac:dyDescent="0.25">
      <c r="C804"/>
      <c r="D804"/>
      <c r="E804"/>
      <c r="F804"/>
      <c r="G804"/>
      <c r="H804"/>
      <c r="I804"/>
      <c r="J804"/>
      <c r="K804"/>
      <c r="L804"/>
      <c r="M804"/>
    </row>
    <row r="805" spans="3:13" x14ac:dyDescent="0.25">
      <c r="C805"/>
      <c r="D805"/>
      <c r="E805"/>
      <c r="F805"/>
      <c r="G805"/>
      <c r="H805"/>
      <c r="I805"/>
      <c r="J805"/>
      <c r="K805"/>
      <c r="L805"/>
      <c r="M805"/>
    </row>
    <row r="806" spans="3:13" x14ac:dyDescent="0.25">
      <c r="C806"/>
      <c r="D806"/>
      <c r="E806"/>
      <c r="F806"/>
      <c r="G806"/>
      <c r="H806"/>
      <c r="I806"/>
      <c r="J806"/>
      <c r="K806"/>
      <c r="L806"/>
      <c r="M806"/>
    </row>
    <row r="807" spans="3:13" x14ac:dyDescent="0.25">
      <c r="C807"/>
      <c r="D807"/>
      <c r="E807"/>
      <c r="F807"/>
      <c r="G807"/>
      <c r="H807"/>
      <c r="I807"/>
      <c r="J807"/>
      <c r="K807"/>
      <c r="L807"/>
      <c r="M807"/>
    </row>
    <row r="808" spans="3:13" x14ac:dyDescent="0.25">
      <c r="C808"/>
      <c r="D808"/>
      <c r="E808"/>
      <c r="F808"/>
      <c r="G808"/>
      <c r="H808"/>
      <c r="I808"/>
      <c r="J808"/>
      <c r="K808"/>
      <c r="L808"/>
      <c r="M808"/>
    </row>
    <row r="809" spans="3:13" x14ac:dyDescent="0.25">
      <c r="C809"/>
      <c r="D809"/>
      <c r="E809"/>
      <c r="F809"/>
      <c r="G809"/>
      <c r="H809"/>
      <c r="I809"/>
      <c r="J809"/>
      <c r="K809"/>
      <c r="L809"/>
      <c r="M809"/>
    </row>
    <row r="810" spans="3:13" x14ac:dyDescent="0.25">
      <c r="C810"/>
      <c r="D810"/>
      <c r="E810"/>
      <c r="F810"/>
      <c r="G810"/>
      <c r="H810"/>
      <c r="I810"/>
      <c r="J810"/>
      <c r="K810"/>
      <c r="L810"/>
      <c r="M810"/>
    </row>
    <row r="811" spans="3:13" x14ac:dyDescent="0.25">
      <c r="C811"/>
      <c r="D811"/>
      <c r="E811"/>
      <c r="F811"/>
      <c r="G811"/>
      <c r="H811"/>
      <c r="I811"/>
      <c r="J811"/>
      <c r="K811"/>
      <c r="L811"/>
      <c r="M811"/>
    </row>
    <row r="812" spans="3:13" x14ac:dyDescent="0.25">
      <c r="C812"/>
      <c r="D812"/>
      <c r="E812"/>
      <c r="F812"/>
      <c r="G812"/>
      <c r="H812"/>
      <c r="I812"/>
      <c r="J812"/>
      <c r="K812"/>
      <c r="L812"/>
      <c r="M812"/>
    </row>
    <row r="813" spans="3:13" x14ac:dyDescent="0.25">
      <c r="C813"/>
      <c r="D813"/>
      <c r="E813"/>
      <c r="F813"/>
      <c r="G813"/>
      <c r="H813"/>
      <c r="I813"/>
      <c r="J813"/>
      <c r="K813"/>
      <c r="L813"/>
      <c r="M813"/>
    </row>
    <row r="814" spans="3:13" x14ac:dyDescent="0.25">
      <c r="C814"/>
      <c r="D814"/>
      <c r="E814"/>
      <c r="F814"/>
      <c r="G814"/>
      <c r="H814"/>
      <c r="I814"/>
      <c r="J814"/>
      <c r="K814"/>
      <c r="L814"/>
      <c r="M814"/>
    </row>
    <row r="815" spans="3:13" x14ac:dyDescent="0.25">
      <c r="C815"/>
      <c r="D815"/>
      <c r="E815"/>
      <c r="F815"/>
      <c r="G815"/>
      <c r="H815"/>
      <c r="I815"/>
      <c r="J815"/>
      <c r="K815"/>
      <c r="L815"/>
      <c r="M815"/>
    </row>
    <row r="816" spans="3:13" x14ac:dyDescent="0.25">
      <c r="C816"/>
      <c r="D816"/>
      <c r="E816"/>
      <c r="F816"/>
      <c r="G816"/>
      <c r="H816"/>
      <c r="I816"/>
      <c r="J816"/>
      <c r="K816"/>
      <c r="L816"/>
      <c r="M816"/>
    </row>
    <row r="817" spans="3:13" x14ac:dyDescent="0.25">
      <c r="C817"/>
      <c r="D817"/>
      <c r="E817"/>
      <c r="F817"/>
      <c r="G817"/>
      <c r="H817"/>
      <c r="I817"/>
      <c r="J817"/>
      <c r="K817"/>
      <c r="L817"/>
      <c r="M817"/>
    </row>
    <row r="818" spans="3:13" x14ac:dyDescent="0.25">
      <c r="C818"/>
      <c r="D818"/>
      <c r="E818"/>
      <c r="F818"/>
      <c r="G818"/>
      <c r="H818"/>
      <c r="I818"/>
      <c r="J818"/>
      <c r="K818"/>
      <c r="L818"/>
      <c r="M818"/>
    </row>
    <row r="819" spans="3:13" x14ac:dyDescent="0.25">
      <c r="C819"/>
      <c r="D819"/>
      <c r="E819"/>
      <c r="F819"/>
      <c r="G819"/>
      <c r="H819"/>
      <c r="I819"/>
      <c r="J819"/>
      <c r="K819"/>
      <c r="L819"/>
      <c r="M819"/>
    </row>
    <row r="820" spans="3:13" x14ac:dyDescent="0.25">
      <c r="C820"/>
      <c r="D820"/>
      <c r="E820"/>
      <c r="F820"/>
      <c r="G820"/>
      <c r="H820"/>
      <c r="I820"/>
      <c r="J820"/>
      <c r="K820"/>
      <c r="L820"/>
      <c r="M820"/>
    </row>
    <row r="821" spans="3:13" x14ac:dyDescent="0.25">
      <c r="C821"/>
      <c r="D821"/>
      <c r="E821"/>
      <c r="F821"/>
      <c r="G821"/>
      <c r="H821"/>
      <c r="I821"/>
      <c r="J821"/>
      <c r="K821"/>
      <c r="L821"/>
      <c r="M821"/>
    </row>
    <row r="822" spans="3:13" x14ac:dyDescent="0.25">
      <c r="C822"/>
      <c r="D822"/>
      <c r="E822"/>
      <c r="F822"/>
      <c r="G822"/>
      <c r="H822"/>
      <c r="I822"/>
      <c r="J822"/>
      <c r="K822"/>
      <c r="L822"/>
      <c r="M822"/>
    </row>
    <row r="823" spans="3:13" x14ac:dyDescent="0.25">
      <c r="C823"/>
      <c r="D823"/>
      <c r="E823"/>
      <c r="F823"/>
      <c r="G823"/>
      <c r="H823"/>
      <c r="I823"/>
      <c r="J823"/>
      <c r="K823"/>
      <c r="L823"/>
      <c r="M823"/>
    </row>
    <row r="824" spans="3:13" x14ac:dyDescent="0.25">
      <c r="C824"/>
      <c r="D824"/>
      <c r="E824"/>
      <c r="F824"/>
      <c r="G824"/>
      <c r="H824"/>
      <c r="I824"/>
      <c r="J824"/>
      <c r="K824"/>
      <c r="L824"/>
      <c r="M824"/>
    </row>
    <row r="825" spans="3:13" x14ac:dyDescent="0.25">
      <c r="C825"/>
      <c r="D825"/>
      <c r="E825"/>
      <c r="F825"/>
      <c r="G825"/>
      <c r="H825"/>
      <c r="I825"/>
      <c r="J825"/>
      <c r="K825"/>
      <c r="L825"/>
      <c r="M825"/>
    </row>
    <row r="826" spans="3:13" x14ac:dyDescent="0.25">
      <c r="C826"/>
      <c r="D826"/>
      <c r="E826"/>
      <c r="F826"/>
      <c r="G826"/>
      <c r="H826"/>
      <c r="I826"/>
      <c r="J826"/>
      <c r="K826"/>
      <c r="L826"/>
      <c r="M826"/>
    </row>
    <row r="827" spans="3:13" x14ac:dyDescent="0.25">
      <c r="C827"/>
      <c r="D827"/>
      <c r="E827"/>
      <c r="F827"/>
      <c r="G827"/>
      <c r="H827"/>
      <c r="I827"/>
      <c r="J827"/>
      <c r="K827"/>
      <c r="L827"/>
      <c r="M827"/>
    </row>
    <row r="828" spans="3:13" x14ac:dyDescent="0.25">
      <c r="C828"/>
      <c r="D828"/>
      <c r="E828"/>
      <c r="F828"/>
      <c r="G828"/>
      <c r="H828"/>
      <c r="I828"/>
      <c r="J828"/>
      <c r="K828"/>
      <c r="L828"/>
      <c r="M828"/>
    </row>
    <row r="829" spans="3:13" x14ac:dyDescent="0.25">
      <c r="C829"/>
      <c r="D829"/>
      <c r="E829"/>
      <c r="F829"/>
      <c r="G829"/>
      <c r="H829"/>
      <c r="I829"/>
      <c r="J829"/>
      <c r="K829"/>
      <c r="L829"/>
      <c r="M829"/>
    </row>
    <row r="830" spans="3:13" x14ac:dyDescent="0.25">
      <c r="C830"/>
      <c r="D830"/>
      <c r="E830"/>
      <c r="F830"/>
      <c r="G830"/>
      <c r="H830"/>
      <c r="I830"/>
      <c r="J830"/>
      <c r="K830"/>
      <c r="L830"/>
      <c r="M830"/>
    </row>
    <row r="831" spans="3:13" x14ac:dyDescent="0.25">
      <c r="C831"/>
      <c r="D831"/>
      <c r="E831"/>
      <c r="F831"/>
      <c r="G831"/>
      <c r="H831"/>
      <c r="I831"/>
      <c r="J831"/>
      <c r="K831"/>
      <c r="L831"/>
      <c r="M831"/>
    </row>
    <row r="832" spans="3:13" x14ac:dyDescent="0.25">
      <c r="C832"/>
      <c r="D832"/>
      <c r="E832"/>
      <c r="F832"/>
      <c r="G832"/>
      <c r="H832"/>
      <c r="I832"/>
      <c r="J832"/>
      <c r="K832"/>
      <c r="L832"/>
      <c r="M832"/>
    </row>
    <row r="833" spans="3:13" x14ac:dyDescent="0.25">
      <c r="C833"/>
      <c r="D833"/>
      <c r="E833"/>
      <c r="F833"/>
      <c r="G833"/>
      <c r="H833"/>
      <c r="I833"/>
      <c r="J833"/>
      <c r="K833"/>
      <c r="L833"/>
      <c r="M833"/>
    </row>
    <row r="834" spans="3:13" x14ac:dyDescent="0.25">
      <c r="C834"/>
      <c r="D834"/>
      <c r="E834"/>
      <c r="F834"/>
      <c r="G834"/>
      <c r="H834"/>
      <c r="I834"/>
      <c r="J834"/>
      <c r="K834"/>
      <c r="L834"/>
      <c r="M834"/>
    </row>
    <row r="835" spans="3:13" x14ac:dyDescent="0.25">
      <c r="C835"/>
      <c r="D835"/>
      <c r="E835"/>
      <c r="F835"/>
      <c r="G835"/>
      <c r="H835"/>
      <c r="I835"/>
      <c r="J835"/>
      <c r="K835"/>
      <c r="L835"/>
      <c r="M835"/>
    </row>
    <row r="836" spans="3:13" x14ac:dyDescent="0.25">
      <c r="C836"/>
      <c r="D836"/>
      <c r="E836"/>
      <c r="F836"/>
      <c r="G836"/>
      <c r="H836"/>
      <c r="I836"/>
      <c r="J836"/>
      <c r="K836"/>
      <c r="L836"/>
      <c r="M836"/>
    </row>
    <row r="837" spans="3:13" x14ac:dyDescent="0.25">
      <c r="C837"/>
      <c r="D837"/>
      <c r="E837"/>
      <c r="F837"/>
      <c r="G837"/>
      <c r="H837"/>
      <c r="I837"/>
      <c r="J837"/>
      <c r="K837"/>
      <c r="L837"/>
      <c r="M837"/>
    </row>
    <row r="838" spans="3:13" x14ac:dyDescent="0.25">
      <c r="C838"/>
      <c r="D838"/>
      <c r="E838"/>
      <c r="F838"/>
      <c r="G838"/>
      <c r="H838"/>
      <c r="I838"/>
      <c r="J838"/>
      <c r="K838"/>
      <c r="L838"/>
      <c r="M838"/>
    </row>
    <row r="839" spans="3:13" x14ac:dyDescent="0.25">
      <c r="C839"/>
      <c r="D839"/>
      <c r="E839"/>
      <c r="F839"/>
      <c r="G839"/>
      <c r="H839"/>
      <c r="I839"/>
      <c r="J839"/>
      <c r="K839"/>
      <c r="L839"/>
      <c r="M839"/>
    </row>
    <row r="840" spans="3:13" x14ac:dyDescent="0.25">
      <c r="C840"/>
      <c r="D840"/>
      <c r="E840"/>
      <c r="F840"/>
      <c r="G840"/>
      <c r="H840"/>
      <c r="I840"/>
      <c r="J840"/>
      <c r="K840"/>
      <c r="L840"/>
      <c r="M840"/>
    </row>
    <row r="841" spans="3:13" x14ac:dyDescent="0.25">
      <c r="C841"/>
      <c r="D841"/>
      <c r="E841"/>
      <c r="F841"/>
      <c r="G841"/>
      <c r="H841"/>
      <c r="I841"/>
      <c r="J841"/>
      <c r="K841"/>
      <c r="L841"/>
      <c r="M841"/>
    </row>
    <row r="842" spans="3:13" x14ac:dyDescent="0.25">
      <c r="C842"/>
      <c r="D842"/>
      <c r="E842"/>
      <c r="F842"/>
      <c r="G842"/>
      <c r="H842"/>
      <c r="I842"/>
      <c r="J842"/>
      <c r="K842"/>
      <c r="L842"/>
      <c r="M842"/>
    </row>
    <row r="843" spans="3:13" x14ac:dyDescent="0.25">
      <c r="C843"/>
      <c r="D843"/>
      <c r="E843"/>
      <c r="F843"/>
      <c r="G843"/>
      <c r="H843"/>
      <c r="I843"/>
      <c r="J843"/>
      <c r="K843"/>
      <c r="L843"/>
      <c r="M843"/>
    </row>
    <row r="844" spans="3:13" x14ac:dyDescent="0.25">
      <c r="C844"/>
      <c r="D844"/>
      <c r="E844"/>
      <c r="F844"/>
      <c r="G844"/>
      <c r="H844"/>
      <c r="I844"/>
      <c r="J844"/>
      <c r="K844"/>
      <c r="L844"/>
      <c r="M844"/>
    </row>
    <row r="845" spans="3:13" x14ac:dyDescent="0.25">
      <c r="C845"/>
      <c r="D845"/>
      <c r="E845"/>
      <c r="F845"/>
      <c r="G845"/>
      <c r="H845"/>
      <c r="I845"/>
      <c r="J845"/>
      <c r="K845"/>
      <c r="L845"/>
      <c r="M845"/>
    </row>
    <row r="846" spans="3:13" x14ac:dyDescent="0.25">
      <c r="C846"/>
      <c r="D846"/>
      <c r="E846"/>
      <c r="F846"/>
      <c r="G846"/>
      <c r="H846"/>
      <c r="I846"/>
      <c r="J846"/>
      <c r="K846"/>
      <c r="L846"/>
      <c r="M846"/>
    </row>
    <row r="847" spans="3:13" x14ac:dyDescent="0.25">
      <c r="C847"/>
      <c r="D847"/>
      <c r="E847"/>
      <c r="F847"/>
      <c r="G847"/>
      <c r="H847"/>
      <c r="I847"/>
      <c r="J847"/>
      <c r="K847"/>
      <c r="L847"/>
      <c r="M847"/>
    </row>
    <row r="848" spans="3:13" x14ac:dyDescent="0.25">
      <c r="C848"/>
      <c r="D848"/>
      <c r="E848"/>
      <c r="F848"/>
      <c r="G848"/>
      <c r="H848"/>
      <c r="I848"/>
      <c r="J848"/>
      <c r="K848"/>
      <c r="L848"/>
      <c r="M848"/>
    </row>
    <row r="849" spans="3:13" x14ac:dyDescent="0.25">
      <c r="C849"/>
      <c r="D849"/>
      <c r="E849"/>
      <c r="F849"/>
      <c r="G849"/>
      <c r="H849"/>
      <c r="I849"/>
      <c r="J849"/>
      <c r="K849"/>
      <c r="L849"/>
      <c r="M849"/>
    </row>
    <row r="850" spans="3:13" x14ac:dyDescent="0.25">
      <c r="C850"/>
      <c r="D850"/>
      <c r="E850"/>
      <c r="F850"/>
      <c r="G850"/>
      <c r="H850"/>
      <c r="I850"/>
      <c r="J850"/>
      <c r="K850"/>
      <c r="L850"/>
      <c r="M850"/>
    </row>
    <row r="851" spans="3:13" x14ac:dyDescent="0.25">
      <c r="C851"/>
      <c r="D851"/>
      <c r="E851"/>
      <c r="F851"/>
      <c r="G851"/>
      <c r="H851"/>
      <c r="I851"/>
      <c r="J851"/>
      <c r="K851"/>
      <c r="L851"/>
      <c r="M851"/>
    </row>
    <row r="852" spans="3:13" x14ac:dyDescent="0.25">
      <c r="C852"/>
      <c r="D852"/>
      <c r="E852"/>
      <c r="F852"/>
      <c r="G852"/>
      <c r="H852"/>
      <c r="I852"/>
      <c r="J852"/>
      <c r="K852"/>
      <c r="L852"/>
      <c r="M852"/>
    </row>
    <row r="853" spans="3:13" x14ac:dyDescent="0.25">
      <c r="C853"/>
      <c r="D853"/>
      <c r="E853"/>
      <c r="F853"/>
      <c r="G853"/>
      <c r="H853"/>
      <c r="I853"/>
      <c r="J853"/>
      <c r="K853"/>
      <c r="L853"/>
      <c r="M853"/>
    </row>
    <row r="854" spans="3:13" x14ac:dyDescent="0.25">
      <c r="C854"/>
      <c r="D854"/>
      <c r="E854"/>
      <c r="F854"/>
      <c r="G854"/>
      <c r="H854"/>
      <c r="I854"/>
      <c r="J854"/>
      <c r="K854"/>
      <c r="L854"/>
      <c r="M854"/>
    </row>
    <row r="855" spans="3:13" x14ac:dyDescent="0.25">
      <c r="C855"/>
      <c r="D855"/>
      <c r="E855"/>
      <c r="F855"/>
      <c r="G855"/>
      <c r="H855"/>
      <c r="I855"/>
      <c r="J855"/>
      <c r="K855"/>
      <c r="L855"/>
      <c r="M855"/>
    </row>
    <row r="856" spans="3:13" x14ac:dyDescent="0.25">
      <c r="C856"/>
      <c r="D856"/>
      <c r="E856"/>
      <c r="F856"/>
      <c r="G856"/>
      <c r="H856"/>
      <c r="I856"/>
      <c r="J856"/>
      <c r="K856"/>
      <c r="L856"/>
      <c r="M856"/>
    </row>
    <row r="857" spans="3:13" x14ac:dyDescent="0.25">
      <c r="C857"/>
      <c r="D857"/>
      <c r="E857"/>
      <c r="F857"/>
      <c r="G857"/>
      <c r="H857"/>
      <c r="I857"/>
      <c r="J857"/>
      <c r="K857"/>
      <c r="L857"/>
      <c r="M857"/>
    </row>
    <row r="858" spans="3:13" x14ac:dyDescent="0.25">
      <c r="C858"/>
      <c r="D858"/>
      <c r="E858"/>
      <c r="F858"/>
      <c r="G858"/>
      <c r="H858"/>
      <c r="I858"/>
      <c r="J858"/>
      <c r="K858"/>
      <c r="L858"/>
      <c r="M858"/>
    </row>
    <row r="859" spans="3:13" x14ac:dyDescent="0.25">
      <c r="C859"/>
      <c r="D859"/>
      <c r="E859"/>
      <c r="F859"/>
      <c r="G859"/>
      <c r="H859"/>
      <c r="I859"/>
      <c r="J859"/>
      <c r="K859"/>
      <c r="L859"/>
      <c r="M859"/>
    </row>
    <row r="860" spans="3:13" x14ac:dyDescent="0.25">
      <c r="C860"/>
      <c r="D860"/>
      <c r="E860"/>
      <c r="F860"/>
      <c r="G860"/>
      <c r="H860"/>
      <c r="I860"/>
      <c r="J860"/>
      <c r="K860"/>
      <c r="L860"/>
      <c r="M860"/>
    </row>
    <row r="861" spans="3:13" x14ac:dyDescent="0.25">
      <c r="C861"/>
      <c r="D861"/>
      <c r="E861"/>
      <c r="F861"/>
      <c r="G861"/>
      <c r="H861"/>
      <c r="I861"/>
      <c r="J861"/>
      <c r="K861"/>
      <c r="L861"/>
      <c r="M861"/>
    </row>
    <row r="862" spans="3:13" x14ac:dyDescent="0.25">
      <c r="C862"/>
      <c r="D862"/>
      <c r="E862"/>
      <c r="F862"/>
      <c r="G862"/>
      <c r="H862"/>
      <c r="I862"/>
      <c r="J862"/>
      <c r="K862"/>
      <c r="L862"/>
      <c r="M862"/>
    </row>
    <row r="863" spans="3:13" x14ac:dyDescent="0.25">
      <c r="C863"/>
      <c r="D863"/>
      <c r="E863"/>
      <c r="F863"/>
      <c r="G863"/>
      <c r="H863"/>
      <c r="I863"/>
      <c r="J863"/>
      <c r="K863"/>
      <c r="L863"/>
      <c r="M863"/>
    </row>
    <row r="864" spans="3:13" x14ac:dyDescent="0.25">
      <c r="C864"/>
      <c r="D864"/>
      <c r="E864"/>
      <c r="F864"/>
      <c r="G864"/>
      <c r="H864"/>
      <c r="I864"/>
      <c r="J864"/>
      <c r="K864"/>
      <c r="L864"/>
      <c r="M864"/>
    </row>
    <row r="865" spans="3:13" x14ac:dyDescent="0.25">
      <c r="C865"/>
      <c r="D865"/>
      <c r="E865"/>
      <c r="F865"/>
      <c r="G865"/>
      <c r="H865"/>
      <c r="I865"/>
      <c r="J865"/>
      <c r="K865"/>
      <c r="L865"/>
      <c r="M865"/>
    </row>
    <row r="866" spans="3:13" x14ac:dyDescent="0.25">
      <c r="C866"/>
      <c r="D866"/>
      <c r="E866"/>
      <c r="F866"/>
      <c r="G866"/>
      <c r="H866"/>
      <c r="I866"/>
      <c r="J866"/>
      <c r="K866"/>
      <c r="L866"/>
      <c r="M866"/>
    </row>
    <row r="867" spans="3:13" x14ac:dyDescent="0.25">
      <c r="C867"/>
      <c r="D867"/>
      <c r="E867"/>
      <c r="F867"/>
      <c r="G867"/>
      <c r="H867"/>
      <c r="I867"/>
      <c r="J867"/>
      <c r="K867"/>
      <c r="L867"/>
      <c r="M867"/>
    </row>
    <row r="868" spans="3:13" x14ac:dyDescent="0.25">
      <c r="C868"/>
      <c r="D868"/>
      <c r="E868"/>
      <c r="F868"/>
      <c r="G868"/>
      <c r="H868"/>
      <c r="I868"/>
      <c r="J868"/>
      <c r="K868"/>
      <c r="L868"/>
      <c r="M868"/>
    </row>
  </sheetData>
  <conditionalFormatting sqref="C2:C1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G1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H119"/>
  <sheetViews>
    <sheetView topLeftCell="A95" workbookViewId="0">
      <selection activeCell="S35" sqref="S35"/>
    </sheetView>
  </sheetViews>
  <sheetFormatPr baseColWidth="10" defaultRowHeight="15" x14ac:dyDescent="0.25"/>
  <cols>
    <col min="4" max="4" width="12" bestFit="1" customWidth="1"/>
    <col min="5" max="5" width="12" customWidth="1"/>
    <col min="6" max="10" width="12" bestFit="1" customWidth="1"/>
    <col min="11" max="14" width="12" customWidth="1"/>
  </cols>
  <sheetData>
    <row r="1" spans="1:22" ht="15.75" thickBot="1" x14ac:dyDescent="0.3">
      <c r="A1" t="s">
        <v>0</v>
      </c>
      <c r="C1" t="s">
        <v>1</v>
      </c>
      <c r="D1" s="60" t="s">
        <v>37</v>
      </c>
      <c r="E1" s="60" t="s">
        <v>3</v>
      </c>
      <c r="F1" s="60" t="s">
        <v>38</v>
      </c>
      <c r="G1" s="60" t="s">
        <v>67</v>
      </c>
      <c r="H1" s="60" t="s">
        <v>68</v>
      </c>
      <c r="I1" s="160" t="s">
        <v>35</v>
      </c>
      <c r="J1" s="60" t="s">
        <v>2</v>
      </c>
      <c r="K1" s="60" t="s">
        <v>69</v>
      </c>
      <c r="L1" s="60" t="s">
        <v>3</v>
      </c>
      <c r="M1" s="60" t="s">
        <v>70</v>
      </c>
      <c r="N1" s="60" t="s">
        <v>3</v>
      </c>
      <c r="R1" t="s">
        <v>40</v>
      </c>
      <c r="S1" s="82" t="s">
        <v>27</v>
      </c>
      <c r="T1" s="82"/>
    </row>
    <row r="2" spans="1:22" x14ac:dyDescent="0.25">
      <c r="A2" s="3">
        <v>0.04</v>
      </c>
      <c r="B2" s="3">
        <f>LOG(A2,  2)</f>
        <v>-4.6438561897747244</v>
      </c>
      <c r="C2" s="64">
        <v>3.87418E-4</v>
      </c>
      <c r="D2" s="1">
        <f>$Q$2*((1/(SQRT(2*PI())*$Q$4))*EXP(-((((LOG(A2,2)-$Q$3)^2)/(2*($Q$4^2))))))</f>
        <v>6.9956222072742375E-8</v>
      </c>
      <c r="E2" s="157">
        <f>(C2-D2)^2</f>
        <v>1.5003850701858708E-7</v>
      </c>
      <c r="F2" s="1">
        <f>$Q$5*((1/(SQRT(2*PI())*$Q$7))*EXP(-((((LOG(A2,2)-$Q$6)^2)/(2*($Q$7^2))))))</f>
        <v>7.5677574615342769E-65</v>
      </c>
      <c r="G2">
        <f>$Q$8*((1/(SQRT(2*PI())*$Q$10))*EXP(-((((LOG(A2,2)-$Q$9)^2)/(2*($Q$10^2))))))</f>
        <v>4.406348772236769E-199</v>
      </c>
      <c r="H2">
        <f>$Q$11*((1/(SQRT(2*PI())*$Q$13))*EXP(-((((LOG(A2,2)-$Q$12)^2)/(2*($Q$13^2))))))</f>
        <v>1.446772437229105E-28</v>
      </c>
      <c r="I2" s="161">
        <f>D2+F2</f>
        <v>6.9956222072742375E-8</v>
      </c>
      <c r="J2" s="2">
        <f t="shared" ref="J2:J33" si="0">(C2-I2)^2</f>
        <v>1.5003850701858708E-7</v>
      </c>
      <c r="K2" s="2">
        <f>D2+F2+G2</f>
        <v>6.9956222072742375E-8</v>
      </c>
      <c r="L2" s="2">
        <f>(C2-K2)^2</f>
        <v>1.5003850701858708E-7</v>
      </c>
      <c r="M2" s="2">
        <f>D2+F2+G2+H2</f>
        <v>6.9956222072742375E-8</v>
      </c>
      <c r="N2" s="2">
        <f>(C2-M2)^2</f>
        <v>1.5003850701858708E-7</v>
      </c>
      <c r="P2" s="78" t="s">
        <v>58</v>
      </c>
      <c r="Q2" s="155">
        <v>6.9929558696218619</v>
      </c>
      <c r="S2" s="82"/>
      <c r="T2" s="82"/>
    </row>
    <row r="3" spans="1:22" x14ac:dyDescent="0.25">
      <c r="A3" s="3">
        <v>4.3999999999999997E-2</v>
      </c>
      <c r="B3" s="3">
        <f t="shared" ref="B3:B66" si="1">LOG(A3,  2)</f>
        <v>-4.5063526660247897</v>
      </c>
      <c r="C3" s="64">
        <v>5.0642799999999996E-4</v>
      </c>
      <c r="D3" s="1">
        <f t="shared" ref="D3:D66" si="2">$Q$2*((1/(SQRT(2*PI())*$Q$4))*EXP(-((((LOG(A3,2)-$Q$3)^2)/(2*($Q$4^2))))))</f>
        <v>1.2578569848828826E-7</v>
      </c>
      <c r="E3" s="157">
        <f t="shared" ref="E3:E66" si="3">(C3-D3)^2</f>
        <v>2.5634193220661383E-7</v>
      </c>
      <c r="F3" s="1">
        <f t="shared" ref="F3:F66" si="4">$Q$5*((1/(SQRT(2*PI())*$Q$7))*EXP(-((((LOG(A3,2)-$Q$6)^2)/(2*($Q$7^2))))))</f>
        <v>5.1460063187853888E-63</v>
      </c>
      <c r="G3">
        <f t="shared" ref="G3:G66" si="5">$Q$8*((1/(SQRT(2*PI())*$Q$10))*EXP(-((((LOG(A3,2)-$Q$9)^2)/(2*($Q$10^2))))))</f>
        <v>8.6741432074822072E-194</v>
      </c>
      <c r="H3">
        <f t="shared" ref="H3:H66" si="6">$Q$11*((1/(SQRT(2*PI())*$Q$13))*EXP(-((((LOG(A3,2)-$Q$12)^2)/(2*($Q$13^2))))))</f>
        <v>9.5923931687261321E-28</v>
      </c>
      <c r="I3" s="161">
        <f t="shared" ref="I3:I66" si="7">D3+F3</f>
        <v>1.2578569848828826E-7</v>
      </c>
      <c r="J3" s="2">
        <f t="shared" si="0"/>
        <v>2.5634193220661383E-7</v>
      </c>
      <c r="K3" s="2">
        <f t="shared" ref="K3:K66" si="8">D3+F3+G3</f>
        <v>1.2578569848828826E-7</v>
      </c>
      <c r="L3" s="2">
        <f t="shared" ref="L3:L66" si="9">(C3-K3)^2</f>
        <v>2.5634193220661383E-7</v>
      </c>
      <c r="M3" s="2">
        <f t="shared" ref="M3:M66" si="10">D3+F3+G3+H3</f>
        <v>1.2578569848828826E-7</v>
      </c>
      <c r="N3" s="2">
        <f t="shared" ref="N3:N66" si="11">(C3-M3)^2</f>
        <v>2.5634193220661383E-7</v>
      </c>
      <c r="P3" s="66" t="s">
        <v>59</v>
      </c>
      <c r="Q3" s="67">
        <v>3.345197213879294</v>
      </c>
      <c r="R3" s="79">
        <f>2^Q3</f>
        <v>10.162596974528377</v>
      </c>
      <c r="S3" s="82">
        <f>D119</f>
        <v>51.964308860429654</v>
      </c>
      <c r="T3" s="82"/>
    </row>
    <row r="4" spans="1:22" ht="15.75" thickBot="1" x14ac:dyDescent="0.3">
      <c r="A4" s="3">
        <v>4.8000000000000001E-2</v>
      </c>
      <c r="B4" s="3">
        <f t="shared" si="1"/>
        <v>-4.3808217839409309</v>
      </c>
      <c r="C4" s="64">
        <v>8.0523499999999996E-4</v>
      </c>
      <c r="D4" s="1">
        <f t="shared" si="2"/>
        <v>2.1300376515204719E-7</v>
      </c>
      <c r="E4" s="157">
        <f t="shared" si="3"/>
        <v>6.4806041442193947E-7</v>
      </c>
      <c r="F4" s="1">
        <f t="shared" si="4"/>
        <v>2.2979798658382978E-61</v>
      </c>
      <c r="G4">
        <f t="shared" si="5"/>
        <v>5.1174824565203491E-189</v>
      </c>
      <c r="H4">
        <f t="shared" si="6"/>
        <v>5.2630811388351909E-27</v>
      </c>
      <c r="I4" s="161">
        <f t="shared" si="7"/>
        <v>2.1300376515204719E-7</v>
      </c>
      <c r="J4" s="2">
        <f t="shared" si="0"/>
        <v>6.4806041442193947E-7</v>
      </c>
      <c r="K4" s="2">
        <f t="shared" si="8"/>
        <v>2.1300376515204719E-7</v>
      </c>
      <c r="L4" s="2">
        <f t="shared" si="9"/>
        <v>6.4806041442193947E-7</v>
      </c>
      <c r="M4" s="2">
        <f t="shared" si="10"/>
        <v>2.1300376515204719E-7</v>
      </c>
      <c r="N4" s="2">
        <f t="shared" si="11"/>
        <v>6.4806041442193947E-7</v>
      </c>
      <c r="P4" s="66" t="s">
        <v>60</v>
      </c>
      <c r="Q4" s="154">
        <v>1.3624357391264419</v>
      </c>
      <c r="S4" s="82"/>
      <c r="T4" s="82"/>
      <c r="V4" t="s">
        <v>77</v>
      </c>
    </row>
    <row r="5" spans="1:22" x14ac:dyDescent="0.25">
      <c r="A5" s="3">
        <v>5.2999999999999999E-2</v>
      </c>
      <c r="B5" s="3">
        <f t="shared" si="1"/>
        <v>-4.2378638300988882</v>
      </c>
      <c r="C5" s="64">
        <v>1.61151E-3</v>
      </c>
      <c r="D5" s="1">
        <f t="shared" si="2"/>
        <v>3.8407026977374167E-7</v>
      </c>
      <c r="E5" s="157">
        <f t="shared" si="3"/>
        <v>2.5957267614490862E-6</v>
      </c>
      <c r="F5" s="1">
        <f t="shared" si="4"/>
        <v>1.6347590505865137E-59</v>
      </c>
      <c r="G5">
        <f t="shared" si="5"/>
        <v>1.1741660656450669E-183</v>
      </c>
      <c r="H5">
        <f t="shared" si="6"/>
        <v>3.5544505185890384E-26</v>
      </c>
      <c r="I5" s="161">
        <f t="shared" si="7"/>
        <v>3.8407026977374167E-7</v>
      </c>
      <c r="J5" s="2">
        <f t="shared" si="0"/>
        <v>2.5957267614490862E-6</v>
      </c>
      <c r="K5" s="2">
        <f t="shared" si="8"/>
        <v>3.8407026977374167E-7</v>
      </c>
      <c r="L5" s="2">
        <f t="shared" si="9"/>
        <v>2.5957267614490862E-6</v>
      </c>
      <c r="M5" s="2">
        <f t="shared" si="10"/>
        <v>3.8407026977374167E-7</v>
      </c>
      <c r="N5" s="2">
        <f t="shared" si="11"/>
        <v>2.5957267614490862E-6</v>
      </c>
      <c r="P5" s="78" t="s">
        <v>39</v>
      </c>
      <c r="Q5" s="85">
        <v>3.1523215496698564</v>
      </c>
      <c r="S5" s="82"/>
      <c r="T5" s="82"/>
      <c r="V5">
        <v>9.9999999999999995E-7</v>
      </c>
    </row>
    <row r="6" spans="1:22" x14ac:dyDescent="0.25">
      <c r="A6" s="3">
        <v>5.8000000000000003E-2</v>
      </c>
      <c r="B6" s="3">
        <f t="shared" si="1"/>
        <v>-4.1078032895345151</v>
      </c>
      <c r="C6" s="64">
        <v>3.3680200000000002E-3</v>
      </c>
      <c r="D6" s="1">
        <f t="shared" si="2"/>
        <v>6.504024753546091E-7</v>
      </c>
      <c r="E6" s="157">
        <f t="shared" si="3"/>
        <v>1.1339178006333292E-5</v>
      </c>
      <c r="F6" s="1">
        <f t="shared" si="4"/>
        <v>7.4758305626498458E-58</v>
      </c>
      <c r="G6">
        <f t="shared" si="5"/>
        <v>7.5809227817137113E-179</v>
      </c>
      <c r="H6">
        <f t="shared" si="6"/>
        <v>1.9677880914584941E-25</v>
      </c>
      <c r="I6" s="161">
        <f t="shared" si="7"/>
        <v>6.504024753546091E-7</v>
      </c>
      <c r="J6" s="2">
        <f t="shared" si="0"/>
        <v>1.1339178006333292E-5</v>
      </c>
      <c r="K6" s="2">
        <f t="shared" si="8"/>
        <v>6.504024753546091E-7</v>
      </c>
      <c r="L6" s="2">
        <f t="shared" si="9"/>
        <v>1.1339178006333292E-5</v>
      </c>
      <c r="M6" s="2">
        <f t="shared" si="10"/>
        <v>6.504024753546091E-7</v>
      </c>
      <c r="N6" s="2">
        <f t="shared" si="11"/>
        <v>1.1339178006333292E-5</v>
      </c>
      <c r="P6" s="66" t="s">
        <v>33</v>
      </c>
      <c r="Q6" s="86">
        <v>4.9626744278498753</v>
      </c>
      <c r="R6" s="79">
        <f>2^Q6</f>
        <v>31.182710410346065</v>
      </c>
      <c r="S6" s="82">
        <f>F119</f>
        <v>23.42520157159068</v>
      </c>
      <c r="T6" s="82"/>
    </row>
    <row r="7" spans="1:22" ht="15.75" thickBot="1" x14ac:dyDescent="0.3">
      <c r="A7" s="3">
        <v>6.4000000000000001E-2</v>
      </c>
      <c r="B7" s="3">
        <f t="shared" si="1"/>
        <v>-3.9657842846620874</v>
      </c>
      <c r="C7" s="64">
        <v>6.2779699999999999E-3</v>
      </c>
      <c r="D7" s="1">
        <f t="shared" si="2"/>
        <v>1.1441102786267707E-6</v>
      </c>
      <c r="E7" s="157">
        <f t="shared" si="3"/>
        <v>3.9398543249876505E-5</v>
      </c>
      <c r="F7" s="1">
        <f t="shared" si="4"/>
        <v>4.56580737797231E-56</v>
      </c>
      <c r="G7">
        <f t="shared" si="5"/>
        <v>1.1455335708473931E-173</v>
      </c>
      <c r="H7">
        <f t="shared" si="6"/>
        <v>1.2388474141344973E-24</v>
      </c>
      <c r="I7" s="161">
        <f t="shared" si="7"/>
        <v>1.1441102786267707E-6</v>
      </c>
      <c r="J7" s="2">
        <f t="shared" si="0"/>
        <v>3.9398543249876505E-5</v>
      </c>
      <c r="K7" s="2">
        <f t="shared" si="8"/>
        <v>1.1441102786267707E-6</v>
      </c>
      <c r="L7" s="2">
        <f t="shared" si="9"/>
        <v>3.9398543249876505E-5</v>
      </c>
      <c r="M7" s="2">
        <f t="shared" si="10"/>
        <v>1.1441102786267707E-6</v>
      </c>
      <c r="N7" s="2">
        <f t="shared" si="11"/>
        <v>3.9398543249876505E-5</v>
      </c>
      <c r="P7" s="68" t="s">
        <v>34</v>
      </c>
      <c r="Q7" s="87">
        <v>0.55750701147159676</v>
      </c>
      <c r="S7" s="82"/>
      <c r="T7" s="82"/>
    </row>
    <row r="8" spans="1:22" x14ac:dyDescent="0.25">
      <c r="A8" s="3">
        <v>7.0000000000000007E-2</v>
      </c>
      <c r="B8" s="3">
        <f t="shared" si="1"/>
        <v>-3.8365012677171206</v>
      </c>
      <c r="C8" s="64">
        <v>9.6538700000000002E-3</v>
      </c>
      <c r="D8" s="1">
        <f t="shared" si="2"/>
        <v>1.8951941219394292E-6</v>
      </c>
      <c r="E8" s="157">
        <f t="shared" si="3"/>
        <v>9.316061765330484E-5</v>
      </c>
      <c r="F8" s="1">
        <f t="shared" si="4"/>
        <v>1.8227151754895603E-54</v>
      </c>
      <c r="G8">
        <f t="shared" si="5"/>
        <v>5.1002913670456762E-169</v>
      </c>
      <c r="H8">
        <f t="shared" si="6"/>
        <v>6.4424915953195204E-24</v>
      </c>
      <c r="I8" s="161">
        <f t="shared" si="7"/>
        <v>1.8951941219394292E-6</v>
      </c>
      <c r="J8" s="2">
        <f t="shared" si="0"/>
        <v>9.316061765330484E-5</v>
      </c>
      <c r="K8" s="2">
        <f t="shared" si="8"/>
        <v>1.8951941219394292E-6</v>
      </c>
      <c r="L8" s="2">
        <f t="shared" si="9"/>
        <v>9.316061765330484E-5</v>
      </c>
      <c r="M8" s="2">
        <f t="shared" si="10"/>
        <v>1.8951941219394292E-6</v>
      </c>
      <c r="N8" s="2">
        <f t="shared" si="11"/>
        <v>9.316061765330484E-5</v>
      </c>
      <c r="P8" s="78" t="s">
        <v>61</v>
      </c>
      <c r="Q8" s="85">
        <v>3.1202333191769722</v>
      </c>
      <c r="S8" s="82"/>
      <c r="T8" s="82"/>
    </row>
    <row r="9" spans="1:22" x14ac:dyDescent="0.25">
      <c r="A9" s="3">
        <v>7.6999999999999999E-2</v>
      </c>
      <c r="B9" s="3">
        <f t="shared" si="1"/>
        <v>-3.6989977439671855</v>
      </c>
      <c r="C9" s="64">
        <v>1.2866900000000001E-2</v>
      </c>
      <c r="D9" s="1">
        <f t="shared" si="2"/>
        <v>3.2098527688679629E-6</v>
      </c>
      <c r="E9" s="157">
        <f t="shared" si="3"/>
        <v>1.6547452420397131E-4</v>
      </c>
      <c r="F9" s="1">
        <f t="shared" si="4"/>
        <v>8.6716951270220273E-53</v>
      </c>
      <c r="G9">
        <f t="shared" si="5"/>
        <v>3.8237989010309231E-164</v>
      </c>
      <c r="H9">
        <f t="shared" si="6"/>
        <v>3.6203580434125623E-23</v>
      </c>
      <c r="I9" s="161">
        <f t="shared" si="7"/>
        <v>3.2098527688679629E-6</v>
      </c>
      <c r="J9" s="2">
        <f t="shared" si="0"/>
        <v>1.6547452420397131E-4</v>
      </c>
      <c r="K9" s="2">
        <f t="shared" si="8"/>
        <v>3.2098527688679629E-6</v>
      </c>
      <c r="L9" s="2">
        <f t="shared" si="9"/>
        <v>1.6547452420397131E-4</v>
      </c>
      <c r="M9" s="2">
        <f t="shared" si="10"/>
        <v>3.2098527688679629E-6</v>
      </c>
      <c r="N9" s="2">
        <f t="shared" si="11"/>
        <v>1.6547452420397131E-4</v>
      </c>
      <c r="P9" s="66" t="s">
        <v>62</v>
      </c>
      <c r="Q9" s="86">
        <v>5.6199583304203768</v>
      </c>
      <c r="R9" s="79">
        <f>2^Q9</f>
        <v>49.178585348165299</v>
      </c>
      <c r="S9">
        <f>G119</f>
        <v>23.190460297442186</v>
      </c>
    </row>
    <row r="10" spans="1:22" ht="15.75" thickBot="1" x14ac:dyDescent="0.3">
      <c r="A10" s="3">
        <v>8.4000000000000005E-2</v>
      </c>
      <c r="B10" s="3">
        <f t="shared" si="1"/>
        <v>-3.5734668618833267</v>
      </c>
      <c r="C10" s="64">
        <v>1.6003199999999999E-2</v>
      </c>
      <c r="D10" s="1">
        <f t="shared" si="2"/>
        <v>5.1467037855078969E-6</v>
      </c>
      <c r="E10" s="157">
        <f t="shared" si="3"/>
        <v>2.5593770926851938E-4</v>
      </c>
      <c r="F10" s="1">
        <f t="shared" si="4"/>
        <v>2.794913298453136E-51</v>
      </c>
      <c r="G10">
        <f t="shared" si="5"/>
        <v>9.3450513258492929E-160</v>
      </c>
      <c r="H10">
        <f t="shared" si="6"/>
        <v>1.7080076165818257E-22</v>
      </c>
      <c r="I10" s="161">
        <f t="shared" si="7"/>
        <v>5.1467037855078969E-6</v>
      </c>
      <c r="J10" s="2">
        <f t="shared" si="0"/>
        <v>2.5593770926851938E-4</v>
      </c>
      <c r="K10" s="2">
        <f t="shared" si="8"/>
        <v>5.1467037855078969E-6</v>
      </c>
      <c r="L10" s="2">
        <f t="shared" si="9"/>
        <v>2.5593770926851938E-4</v>
      </c>
      <c r="M10" s="2">
        <f t="shared" si="10"/>
        <v>5.1467037855078969E-6</v>
      </c>
      <c r="N10" s="2">
        <f t="shared" si="11"/>
        <v>2.5593770926851938E-4</v>
      </c>
      <c r="P10" s="68" t="s">
        <v>63</v>
      </c>
      <c r="Q10" s="87">
        <v>0.33911421416997606</v>
      </c>
    </row>
    <row r="11" spans="1:22" x14ac:dyDescent="0.25">
      <c r="A11" s="3">
        <v>9.2999999999999999E-2</v>
      </c>
      <c r="B11" s="3">
        <f t="shared" si="1"/>
        <v>-3.4266254735540556</v>
      </c>
      <c r="C11" s="64">
        <v>1.9402099999999999E-2</v>
      </c>
      <c r="D11" s="1">
        <f t="shared" si="2"/>
        <v>8.8451122804042066E-6</v>
      </c>
      <c r="E11" s="157">
        <f t="shared" si="3"/>
        <v>3.7609833514005991E-4</v>
      </c>
      <c r="F11" s="1">
        <f t="shared" si="4"/>
        <v>1.5231327598564333E-49</v>
      </c>
      <c r="G11">
        <f t="shared" si="5"/>
        <v>1.0667958117832813E-154</v>
      </c>
      <c r="H11">
        <f t="shared" si="6"/>
        <v>1.0178056876983647E-21</v>
      </c>
      <c r="I11" s="161">
        <f t="shared" si="7"/>
        <v>8.8451122804042066E-6</v>
      </c>
      <c r="J11" s="2">
        <f t="shared" si="0"/>
        <v>3.7609833514005991E-4</v>
      </c>
      <c r="K11" s="2">
        <f t="shared" si="8"/>
        <v>8.8451122804042066E-6</v>
      </c>
      <c r="L11" s="2">
        <f t="shared" si="9"/>
        <v>3.7609833514005991E-4</v>
      </c>
      <c r="M11" s="2">
        <f t="shared" si="10"/>
        <v>8.8451122804042082E-6</v>
      </c>
      <c r="N11" s="2">
        <f t="shared" si="11"/>
        <v>3.7609833514005991E-4</v>
      </c>
      <c r="P11" s="66" t="s">
        <v>64</v>
      </c>
      <c r="Q11" s="156">
        <v>2.9486845073501406</v>
      </c>
    </row>
    <row r="12" spans="1:22" x14ac:dyDescent="0.25">
      <c r="A12" s="3">
        <v>0.10199999999999999</v>
      </c>
      <c r="B12" s="3">
        <f t="shared" si="1"/>
        <v>-3.2933589426905918</v>
      </c>
      <c r="C12" s="64">
        <v>2.2970000000000001E-2</v>
      </c>
      <c r="D12" s="1">
        <f t="shared" si="2"/>
        <v>1.4314290504605203E-5</v>
      </c>
      <c r="E12" s="157">
        <f t="shared" si="3"/>
        <v>5.2696350639313118E-4</v>
      </c>
      <c r="F12" s="1">
        <f t="shared" si="4"/>
        <v>5.4014170341278655E-48</v>
      </c>
      <c r="G12">
        <f t="shared" si="5"/>
        <v>3.5281721665976538E-150</v>
      </c>
      <c r="H12">
        <f t="shared" si="6"/>
        <v>5.0015187479884807E-21</v>
      </c>
      <c r="I12" s="161">
        <f t="shared" si="7"/>
        <v>1.4314290504605203E-5</v>
      </c>
      <c r="J12" s="2">
        <f t="shared" si="0"/>
        <v>5.2696350639313118E-4</v>
      </c>
      <c r="K12" s="2">
        <f t="shared" si="8"/>
        <v>1.4314290504605203E-5</v>
      </c>
      <c r="L12" s="2">
        <f t="shared" si="9"/>
        <v>5.2696350639313118E-4</v>
      </c>
      <c r="M12" s="2">
        <f t="shared" si="10"/>
        <v>1.4314290504605208E-5</v>
      </c>
      <c r="N12" s="2">
        <f t="shared" si="11"/>
        <v>5.2696350639313118E-4</v>
      </c>
      <c r="P12" s="66" t="s">
        <v>65</v>
      </c>
      <c r="Q12" s="86">
        <v>4.6588108621837447</v>
      </c>
      <c r="R12" s="79">
        <f>2^Q12</f>
        <v>25.260492498070448</v>
      </c>
      <c r="S12">
        <f>H119</f>
        <v>21.912327381894929</v>
      </c>
    </row>
    <row r="13" spans="1:22" ht="15.75" thickBot="1" x14ac:dyDescent="0.3">
      <c r="A13" s="3">
        <v>0.112</v>
      </c>
      <c r="B13" s="3">
        <f t="shared" si="1"/>
        <v>-3.1584293626044833</v>
      </c>
      <c r="C13" s="64">
        <v>2.64093E-2</v>
      </c>
      <c r="D13" s="1">
        <f t="shared" si="2"/>
        <v>2.3078731871163335E-5</v>
      </c>
      <c r="E13" s="157">
        <f t="shared" si="3"/>
        <v>6.9623267281065449E-4</v>
      </c>
      <c r="F13" s="1">
        <f t="shared" si="4"/>
        <v>1.8894496314526013E-46</v>
      </c>
      <c r="G13">
        <f t="shared" si="5"/>
        <v>1.1352344785105435E-145</v>
      </c>
      <c r="H13">
        <f t="shared" si="6"/>
        <v>2.4403959352844151E-20</v>
      </c>
      <c r="I13" s="161">
        <f t="shared" si="7"/>
        <v>2.3078731871163335E-5</v>
      </c>
      <c r="J13" s="2">
        <f t="shared" si="0"/>
        <v>6.9623267281065449E-4</v>
      </c>
      <c r="K13" s="2">
        <f t="shared" si="8"/>
        <v>2.3078731871163335E-5</v>
      </c>
      <c r="L13" s="2">
        <f t="shared" si="9"/>
        <v>6.9623267281065449E-4</v>
      </c>
      <c r="M13" s="2">
        <f t="shared" si="10"/>
        <v>2.3078731871163359E-5</v>
      </c>
      <c r="N13" s="2">
        <f t="shared" si="11"/>
        <v>6.9623267281065449E-4</v>
      </c>
      <c r="P13" s="68" t="s">
        <v>66</v>
      </c>
      <c r="Q13" s="87">
        <v>0.81927774804168862</v>
      </c>
    </row>
    <row r="14" spans="1:22" x14ac:dyDescent="0.25">
      <c r="A14" s="3">
        <v>0.122</v>
      </c>
      <c r="B14" s="3">
        <f t="shared" si="1"/>
        <v>-3.0350469470992008</v>
      </c>
      <c r="C14" s="64">
        <v>2.9835199999999999E-2</v>
      </c>
      <c r="D14" s="1">
        <f t="shared" si="2"/>
        <v>3.5413834065662085E-5</v>
      </c>
      <c r="E14" s="157">
        <f t="shared" si="3"/>
        <v>8.8802725553541152E-4</v>
      </c>
      <c r="F14" s="1">
        <f t="shared" si="4"/>
        <v>4.6320893848619996E-45</v>
      </c>
      <c r="G14">
        <f t="shared" si="5"/>
        <v>1.3082447255092618E-141</v>
      </c>
      <c r="H14">
        <f t="shared" si="6"/>
        <v>1.0153102931279344E-19</v>
      </c>
      <c r="I14" s="161">
        <f t="shared" si="7"/>
        <v>3.5413834065662085E-5</v>
      </c>
      <c r="J14" s="2">
        <f t="shared" si="0"/>
        <v>8.8802725553541152E-4</v>
      </c>
      <c r="K14" s="2">
        <f t="shared" si="8"/>
        <v>3.5413834065662085E-5</v>
      </c>
      <c r="L14" s="2">
        <f t="shared" si="9"/>
        <v>8.8802725553541152E-4</v>
      </c>
      <c r="M14" s="2">
        <f t="shared" si="10"/>
        <v>3.5413834065662187E-5</v>
      </c>
      <c r="N14" s="2">
        <f t="shared" si="11"/>
        <v>8.8802725553541152E-4</v>
      </c>
    </row>
    <row r="15" spans="1:22" x14ac:dyDescent="0.25">
      <c r="A15" s="3">
        <v>0.13400000000000001</v>
      </c>
      <c r="B15" s="3">
        <f t="shared" si="1"/>
        <v>-2.8996950942043149</v>
      </c>
      <c r="C15" s="64">
        <v>3.3326300000000003E-2</v>
      </c>
      <c r="D15" s="1">
        <f t="shared" si="2"/>
        <v>5.6114802329691744E-5</v>
      </c>
      <c r="E15" s="157">
        <f t="shared" si="3"/>
        <v>1.1069052230872807E-3</v>
      </c>
      <c r="F15" s="1">
        <f t="shared" si="4"/>
        <v>1.4640065071065527E-43</v>
      </c>
      <c r="G15">
        <f t="shared" si="5"/>
        <v>3.2076347000194559E-137</v>
      </c>
      <c r="H15">
        <f t="shared" si="6"/>
        <v>4.7257525163775607E-19</v>
      </c>
      <c r="I15" s="161">
        <f t="shared" si="7"/>
        <v>5.6114802329691744E-5</v>
      </c>
      <c r="J15" s="2">
        <f t="shared" si="0"/>
        <v>1.1069052230872807E-3</v>
      </c>
      <c r="K15" s="2">
        <f t="shared" si="8"/>
        <v>5.6114802329691744E-5</v>
      </c>
      <c r="L15" s="2">
        <f t="shared" si="9"/>
        <v>1.1069052230872807E-3</v>
      </c>
      <c r="M15" s="2">
        <f t="shared" si="10"/>
        <v>5.6114802329692219E-5</v>
      </c>
      <c r="N15" s="2">
        <f t="shared" si="11"/>
        <v>1.1069052230872807E-3</v>
      </c>
    </row>
    <row r="16" spans="1:22" x14ac:dyDescent="0.25">
      <c r="A16" s="3">
        <v>0.14799999999999999</v>
      </c>
      <c r="B16" s="3">
        <f t="shared" si="1"/>
        <v>-2.7563309190331373</v>
      </c>
      <c r="C16" s="64">
        <v>3.6864000000000001E-2</v>
      </c>
      <c r="D16" s="1">
        <f t="shared" si="2"/>
        <v>9.0394318358328864E-5</v>
      </c>
      <c r="E16" s="157">
        <f t="shared" si="3"/>
        <v>1.3522980748288688E-3</v>
      </c>
      <c r="F16" s="1">
        <f t="shared" si="4"/>
        <v>5.3232077573342109E-42</v>
      </c>
      <c r="G16">
        <f t="shared" si="5"/>
        <v>1.2024624715075014E-132</v>
      </c>
      <c r="H16">
        <f t="shared" si="6"/>
        <v>2.338577588514583E-18</v>
      </c>
      <c r="I16" s="161">
        <f t="shared" si="7"/>
        <v>9.0394318358328864E-5</v>
      </c>
      <c r="J16" s="2">
        <f t="shared" si="0"/>
        <v>1.3522980748288688E-3</v>
      </c>
      <c r="K16" s="2">
        <f t="shared" si="8"/>
        <v>9.0394318358328864E-5</v>
      </c>
      <c r="L16" s="2">
        <f t="shared" si="9"/>
        <v>1.3522980748288688E-3</v>
      </c>
      <c r="M16" s="2">
        <f t="shared" si="10"/>
        <v>9.0394318358331209E-5</v>
      </c>
      <c r="N16" s="2">
        <f t="shared" si="11"/>
        <v>1.3522980748288684E-3</v>
      </c>
    </row>
    <row r="17" spans="1:34" x14ac:dyDescent="0.25">
      <c r="A17" s="3">
        <v>0.16200000000000001</v>
      </c>
      <c r="B17" s="3">
        <f t="shared" si="1"/>
        <v>-2.6259342817774622</v>
      </c>
      <c r="C17" s="64">
        <v>4.0454999999999998E-2</v>
      </c>
      <c r="D17" s="1">
        <f t="shared" si="2"/>
        <v>1.3813367505176327E-4</v>
      </c>
      <c r="E17" s="157">
        <f t="shared" si="3"/>
        <v>1.6254497102637449E-3</v>
      </c>
      <c r="F17" s="1">
        <f t="shared" si="4"/>
        <v>1.3203905185851315E-40</v>
      </c>
      <c r="G17">
        <f t="shared" si="5"/>
        <v>1.4887986576544782E-128</v>
      </c>
      <c r="H17">
        <f t="shared" si="6"/>
        <v>9.7514004571216559E-18</v>
      </c>
      <c r="I17" s="161">
        <f t="shared" si="7"/>
        <v>1.3813367505176327E-4</v>
      </c>
      <c r="J17" s="2">
        <f t="shared" si="0"/>
        <v>1.6254497102637449E-3</v>
      </c>
      <c r="K17" s="2">
        <f t="shared" si="8"/>
        <v>1.3813367505176327E-4</v>
      </c>
      <c r="L17" s="2">
        <f t="shared" si="9"/>
        <v>1.6254497102637449E-3</v>
      </c>
      <c r="M17" s="2">
        <f t="shared" si="10"/>
        <v>1.3813367505177303E-4</v>
      </c>
      <c r="N17" s="2">
        <f t="shared" si="11"/>
        <v>1.6254497102637445E-3</v>
      </c>
    </row>
    <row r="18" spans="1:34" x14ac:dyDescent="0.25">
      <c r="A18" s="3">
        <v>0.17799999999999999</v>
      </c>
      <c r="B18" s="3">
        <f t="shared" si="1"/>
        <v>-2.4900508536956893</v>
      </c>
      <c r="C18" s="64">
        <v>4.42911E-2</v>
      </c>
      <c r="D18" s="1">
        <f t="shared" si="2"/>
        <v>2.1280124548497326E-4</v>
      </c>
      <c r="E18" s="157">
        <f t="shared" si="3"/>
        <v>1.9428964210922812E-3</v>
      </c>
      <c r="F18" s="1">
        <f t="shared" si="4"/>
        <v>3.5369670666840933E-39</v>
      </c>
      <c r="G18">
        <f t="shared" si="5"/>
        <v>2.3414853308204285E-124</v>
      </c>
      <c r="H18">
        <f t="shared" si="6"/>
        <v>4.203098130593619E-17</v>
      </c>
      <c r="I18" s="161">
        <f t="shared" si="7"/>
        <v>2.1280124548497326E-4</v>
      </c>
      <c r="J18" s="2">
        <f t="shared" si="0"/>
        <v>1.9428964210922812E-3</v>
      </c>
      <c r="K18" s="2">
        <f t="shared" si="8"/>
        <v>2.1280124548497326E-4</v>
      </c>
      <c r="L18" s="2">
        <f t="shared" si="9"/>
        <v>1.9428964210922812E-3</v>
      </c>
      <c r="M18" s="2">
        <f t="shared" si="10"/>
        <v>2.128012454850153E-4</v>
      </c>
      <c r="N18" s="2">
        <f t="shared" si="11"/>
        <v>1.9428964210922775E-3</v>
      </c>
    </row>
    <row r="19" spans="1:34" x14ac:dyDescent="0.25">
      <c r="A19" s="3">
        <v>0.19500000000000001</v>
      </c>
      <c r="B19" s="3">
        <f t="shared" si="1"/>
        <v>-2.3584539709124765</v>
      </c>
      <c r="C19" s="64">
        <v>4.854E-2</v>
      </c>
      <c r="D19" s="1">
        <f t="shared" si="2"/>
        <v>3.2033963799973561E-4</v>
      </c>
      <c r="E19" s="157">
        <f t="shared" si="3"/>
        <v>2.3251356454266599E-3</v>
      </c>
      <c r="F19" s="1">
        <f t="shared" si="4"/>
        <v>8.070913753024162E-38</v>
      </c>
      <c r="G19">
        <f t="shared" si="5"/>
        <v>2.3296689863752726E-120</v>
      </c>
      <c r="H19">
        <f t="shared" si="6"/>
        <v>1.6852668540897515E-16</v>
      </c>
      <c r="I19" s="161">
        <f t="shared" si="7"/>
        <v>3.2033963799973561E-4</v>
      </c>
      <c r="J19" s="2">
        <f t="shared" si="0"/>
        <v>2.3251356454266599E-3</v>
      </c>
      <c r="K19" s="2">
        <f t="shared" si="8"/>
        <v>3.2033963799973561E-4</v>
      </c>
      <c r="L19" s="2">
        <f t="shared" si="9"/>
        <v>2.3251356454266599E-3</v>
      </c>
      <c r="M19" s="2">
        <f t="shared" si="10"/>
        <v>3.2033963799990415E-4</v>
      </c>
      <c r="N19" s="2">
        <f t="shared" si="11"/>
        <v>2.325135645426643E-3</v>
      </c>
    </row>
    <row r="20" spans="1:34" x14ac:dyDescent="0.25">
      <c r="A20" s="3">
        <v>0.214</v>
      </c>
      <c r="B20" s="3">
        <f t="shared" si="1"/>
        <v>-2.2243172982609405</v>
      </c>
      <c r="C20" s="64">
        <v>5.3223899999999998E-2</v>
      </c>
      <c r="D20" s="1">
        <f t="shared" si="2"/>
        <v>4.8139960600538745E-4</v>
      </c>
      <c r="E20" s="157">
        <f t="shared" si="3"/>
        <v>2.7817713478105219E-3</v>
      </c>
      <c r="F20" s="1">
        <f t="shared" si="4"/>
        <v>1.8472528774594925E-36</v>
      </c>
      <c r="G20">
        <f t="shared" si="5"/>
        <v>2.371085937306001E-116</v>
      </c>
      <c r="H20">
        <f t="shared" si="6"/>
        <v>6.7588996989221067E-16</v>
      </c>
      <c r="I20" s="161">
        <f t="shared" si="7"/>
        <v>4.8139960600538745E-4</v>
      </c>
      <c r="J20" s="2">
        <f t="shared" si="0"/>
        <v>2.7817713478105219E-3</v>
      </c>
      <c r="K20" s="2">
        <f t="shared" si="8"/>
        <v>4.8139960600538745E-4</v>
      </c>
      <c r="L20" s="2">
        <f t="shared" si="9"/>
        <v>2.7817713478105219E-3</v>
      </c>
      <c r="M20" s="2">
        <f t="shared" si="10"/>
        <v>4.8139960600606334E-4</v>
      </c>
      <c r="N20" s="2">
        <f t="shared" si="11"/>
        <v>2.7817713478104503E-3</v>
      </c>
    </row>
    <row r="21" spans="1:34" x14ac:dyDescent="0.25">
      <c r="A21" s="3">
        <v>0.23499999999999999</v>
      </c>
      <c r="B21" s="3">
        <f t="shared" si="1"/>
        <v>-2.0892673380970872</v>
      </c>
      <c r="C21" s="64">
        <v>5.8327400000000001E-2</v>
      </c>
      <c r="D21" s="1">
        <f t="shared" si="2"/>
        <v>7.1837703545519203E-4</v>
      </c>
      <c r="E21" s="157">
        <f t="shared" si="3"/>
        <v>3.3187995269294509E-3</v>
      </c>
      <c r="F21" s="1">
        <f t="shared" si="4"/>
        <v>4.0736988370180799E-35</v>
      </c>
      <c r="G21">
        <f t="shared" si="5"/>
        <v>2.1940261425444996E-112</v>
      </c>
      <c r="H21">
        <f t="shared" si="6"/>
        <v>2.6633574584439735E-15</v>
      </c>
      <c r="I21" s="161">
        <f t="shared" si="7"/>
        <v>7.1837703545519203E-4</v>
      </c>
      <c r="J21" s="2">
        <f t="shared" si="0"/>
        <v>3.3187995269294509E-3</v>
      </c>
      <c r="K21" s="2">
        <f t="shared" si="8"/>
        <v>7.1837703545519203E-4</v>
      </c>
      <c r="L21" s="2">
        <f t="shared" si="9"/>
        <v>3.3187995269294509E-3</v>
      </c>
      <c r="M21" s="2">
        <f t="shared" si="10"/>
        <v>7.1837703545785537E-4</v>
      </c>
      <c r="N21" s="2">
        <f t="shared" si="11"/>
        <v>3.3187995269291439E-3</v>
      </c>
    </row>
    <row r="22" spans="1:34" x14ac:dyDescent="0.25">
      <c r="A22" s="3">
        <v>0.25800000000000001</v>
      </c>
      <c r="B22" s="3">
        <f t="shared" si="1"/>
        <v>-1.954557029238833</v>
      </c>
      <c r="C22" s="64">
        <v>6.3824699999999998E-2</v>
      </c>
      <c r="D22" s="1">
        <f t="shared" si="2"/>
        <v>1.0605003786323527E-3</v>
      </c>
      <c r="E22" s="157">
        <f t="shared" si="3"/>
        <v>3.9393447541108866E-3</v>
      </c>
      <c r="F22" s="1">
        <f t="shared" si="4"/>
        <v>8.407840009564311E-34</v>
      </c>
      <c r="G22">
        <f t="shared" si="5"/>
        <v>1.6941137334096644E-108</v>
      </c>
      <c r="H22">
        <f t="shared" si="6"/>
        <v>1.0179554957512258E-14</v>
      </c>
      <c r="I22" s="161">
        <f t="shared" si="7"/>
        <v>1.0605003786323527E-3</v>
      </c>
      <c r="J22" s="2">
        <f t="shared" si="0"/>
        <v>3.9393447541108866E-3</v>
      </c>
      <c r="K22" s="2">
        <f t="shared" si="8"/>
        <v>1.0605003786323527E-3</v>
      </c>
      <c r="L22" s="2">
        <f t="shared" si="9"/>
        <v>3.9393447541108866E-3</v>
      </c>
      <c r="M22" s="2">
        <f t="shared" si="10"/>
        <v>1.0605003786425323E-3</v>
      </c>
      <c r="N22" s="2">
        <f t="shared" si="11"/>
        <v>3.9393447541096098E-3</v>
      </c>
    </row>
    <row r="23" spans="1:34" x14ac:dyDescent="0.25">
      <c r="A23" s="3">
        <v>0.28399999999999997</v>
      </c>
      <c r="B23" s="3">
        <f t="shared" si="1"/>
        <v>-1.816037165157405</v>
      </c>
      <c r="C23" s="64">
        <v>6.9753200000000001E-2</v>
      </c>
      <c r="D23" s="1">
        <f t="shared" si="2"/>
        <v>1.5668427187542733E-3</v>
      </c>
      <c r="E23" s="157">
        <f t="shared" si="3"/>
        <v>4.649379319285692E-3</v>
      </c>
      <c r="F23" s="1">
        <f t="shared" si="4"/>
        <v>1.7787586869079865E-32</v>
      </c>
      <c r="G23">
        <f t="shared" si="5"/>
        <v>1.4292868866922207E-104</v>
      </c>
      <c r="H23">
        <f t="shared" si="6"/>
        <v>3.9287198263988744E-14</v>
      </c>
      <c r="I23" s="161">
        <f t="shared" si="7"/>
        <v>1.5668427187542733E-3</v>
      </c>
      <c r="J23" s="2">
        <f t="shared" si="0"/>
        <v>4.649379319285692E-3</v>
      </c>
      <c r="K23" s="2">
        <f t="shared" si="8"/>
        <v>1.5668427187542733E-3</v>
      </c>
      <c r="L23" s="2">
        <f t="shared" si="9"/>
        <v>4.649379319285692E-3</v>
      </c>
      <c r="M23" s="2">
        <f t="shared" si="10"/>
        <v>1.5668427187935604E-3</v>
      </c>
      <c r="N23" s="2">
        <f t="shared" si="11"/>
        <v>4.6493793192803343E-3</v>
      </c>
    </row>
    <row r="24" spans="1:34" x14ac:dyDescent="0.25">
      <c r="A24" s="3">
        <v>0.311</v>
      </c>
      <c r="B24" s="3">
        <f t="shared" si="1"/>
        <v>-1.6850135145314844</v>
      </c>
      <c r="C24" s="64">
        <v>7.5976000000000002E-2</v>
      </c>
      <c r="D24" s="1">
        <f t="shared" si="2"/>
        <v>2.2450964638795292E-3</v>
      </c>
      <c r="E24" s="157">
        <f t="shared" si="3"/>
        <v>5.4362461362527014E-3</v>
      </c>
      <c r="F24" s="1">
        <f t="shared" si="4"/>
        <v>3.0140346554927101E-31</v>
      </c>
      <c r="G24">
        <f t="shared" si="5"/>
        <v>6.3407153320908906E-101</v>
      </c>
      <c r="H24">
        <f t="shared" si="6"/>
        <v>1.372800414658796E-13</v>
      </c>
      <c r="I24" s="161">
        <f t="shared" si="7"/>
        <v>2.2450964638795292E-3</v>
      </c>
      <c r="J24" s="2">
        <f t="shared" si="0"/>
        <v>5.4362461362527014E-3</v>
      </c>
      <c r="K24" s="2">
        <f t="shared" si="8"/>
        <v>2.2450964638795292E-3</v>
      </c>
      <c r="L24" s="2">
        <f t="shared" si="9"/>
        <v>5.4362461362527014E-3</v>
      </c>
      <c r="M24" s="2">
        <f t="shared" si="10"/>
        <v>2.2450964640168092E-3</v>
      </c>
      <c r="N24" s="2">
        <f t="shared" si="11"/>
        <v>5.4362461362324581E-3</v>
      </c>
      <c r="O24" s="82"/>
      <c r="P24" s="82"/>
      <c r="Q24" s="82"/>
    </row>
    <row r="25" spans="1:34" x14ac:dyDescent="0.25">
      <c r="A25" s="3">
        <v>0.34200000000000003</v>
      </c>
      <c r="B25" s="3">
        <f t="shared" si="1"/>
        <v>-1.5479317697761892</v>
      </c>
      <c r="C25" s="64">
        <v>8.2492499999999996E-2</v>
      </c>
      <c r="D25" s="1">
        <f t="shared" si="2"/>
        <v>3.2386783648056363E-3</v>
      </c>
      <c r="E25" s="157">
        <f t="shared" si="3"/>
        <v>6.2811682437832013E-3</v>
      </c>
      <c r="F25" s="1">
        <f t="shared" si="4"/>
        <v>5.4869253575492213E-30</v>
      </c>
      <c r="G25">
        <f t="shared" si="5"/>
        <v>3.5349634953550056E-97</v>
      </c>
      <c r="H25">
        <f t="shared" si="6"/>
        <v>4.9453478840369093E-13</v>
      </c>
      <c r="I25" s="161">
        <f t="shared" si="7"/>
        <v>3.2386783648056363E-3</v>
      </c>
      <c r="J25" s="2">
        <f t="shared" si="0"/>
        <v>6.2811682437832013E-3</v>
      </c>
      <c r="K25" s="2">
        <f t="shared" si="8"/>
        <v>3.2386783648056363E-3</v>
      </c>
      <c r="L25" s="2">
        <f t="shared" si="9"/>
        <v>6.2811682437832013E-3</v>
      </c>
      <c r="M25" s="2">
        <f t="shared" si="10"/>
        <v>3.2386783653001712E-3</v>
      </c>
      <c r="N25" s="2">
        <f t="shared" si="11"/>
        <v>6.2811682437048134E-3</v>
      </c>
      <c r="O25" s="82"/>
      <c r="P25" s="82"/>
      <c r="Q25" s="82"/>
    </row>
    <row r="26" spans="1:34" x14ac:dyDescent="0.25">
      <c r="A26" s="5">
        <v>0.375</v>
      </c>
      <c r="B26" s="3">
        <f t="shared" si="1"/>
        <v>-1.4150374992788437</v>
      </c>
      <c r="C26" s="64">
        <v>8.9397099999999993E-2</v>
      </c>
      <c r="D26" s="1">
        <f t="shared" si="2"/>
        <v>4.5755406445733464E-3</v>
      </c>
      <c r="E26" s="157">
        <f t="shared" si="3"/>
        <v>7.1946969314861664E-3</v>
      </c>
      <c r="F26" s="1">
        <f t="shared" si="4"/>
        <v>8.6287674648357653E-29</v>
      </c>
      <c r="G26">
        <f t="shared" si="5"/>
        <v>1.2955267727169589E-93</v>
      </c>
      <c r="H26">
        <f t="shared" si="6"/>
        <v>1.6679264993862146E-12</v>
      </c>
      <c r="I26" s="161">
        <f t="shared" si="7"/>
        <v>4.5755406445733464E-3</v>
      </c>
      <c r="J26" s="2">
        <f t="shared" si="0"/>
        <v>7.1946969314861664E-3</v>
      </c>
      <c r="K26" s="2">
        <f t="shared" si="8"/>
        <v>4.5755406445733464E-3</v>
      </c>
      <c r="L26" s="2">
        <f t="shared" si="9"/>
        <v>7.1946969314861664E-3</v>
      </c>
      <c r="M26" s="2">
        <f t="shared" si="10"/>
        <v>4.5755406462412726E-3</v>
      </c>
      <c r="N26" s="2">
        <f t="shared" si="11"/>
        <v>7.1946969312032139E-3</v>
      </c>
      <c r="O26" s="82"/>
      <c r="P26" s="82"/>
      <c r="Q26" s="82"/>
    </row>
    <row r="27" spans="1:34" x14ac:dyDescent="0.25">
      <c r="A27" s="5">
        <v>0.41199999999999998</v>
      </c>
      <c r="B27" s="3">
        <f t="shared" si="1"/>
        <v>-1.2792837574788687</v>
      </c>
      <c r="C27" s="64">
        <v>9.70641E-2</v>
      </c>
      <c r="D27" s="1">
        <f t="shared" si="2"/>
        <v>6.4488131169730878E-3</v>
      </c>
      <c r="E27" s="157">
        <f t="shared" si="3"/>
        <v>8.2111302168932695E-3</v>
      </c>
      <c r="F27" s="1">
        <f t="shared" si="4"/>
        <v>1.3578025464042428E-27</v>
      </c>
      <c r="G27">
        <f t="shared" si="5"/>
        <v>4.8342654215349685E-90</v>
      </c>
      <c r="H27">
        <f t="shared" si="6"/>
        <v>5.6197751635571382E-12</v>
      </c>
      <c r="I27" s="161">
        <f t="shared" si="7"/>
        <v>6.4488131169730878E-3</v>
      </c>
      <c r="J27" s="2">
        <f t="shared" si="0"/>
        <v>8.2111302168932695E-3</v>
      </c>
      <c r="K27" s="2">
        <f t="shared" si="8"/>
        <v>6.4488131169730878E-3</v>
      </c>
      <c r="L27" s="2">
        <f t="shared" si="9"/>
        <v>8.2111302168932695E-3</v>
      </c>
      <c r="M27" s="2">
        <f t="shared" si="10"/>
        <v>6.4488131225928632E-3</v>
      </c>
      <c r="N27" s="2">
        <f t="shared" si="11"/>
        <v>8.2111302158747942E-3</v>
      </c>
      <c r="O27" s="82"/>
      <c r="P27" s="82"/>
      <c r="Q27" s="82"/>
    </row>
    <row r="28" spans="1:34" ht="15.75" thickBot="1" x14ac:dyDescent="0.3">
      <c r="A28" s="5">
        <v>0.45200000000000001</v>
      </c>
      <c r="B28" s="3">
        <f t="shared" si="1"/>
        <v>-1.1456053222468994</v>
      </c>
      <c r="C28" s="64">
        <v>0.10553999999999999</v>
      </c>
      <c r="D28" s="1">
        <f t="shared" si="2"/>
        <v>8.9541710105502208E-3</v>
      </c>
      <c r="E28" s="157">
        <f t="shared" si="3"/>
        <v>9.3288223615792358E-3</v>
      </c>
      <c r="F28" s="1">
        <f t="shared" si="4"/>
        <v>1.9331439038724516E-26</v>
      </c>
      <c r="G28">
        <f t="shared" si="5"/>
        <v>1.3601916719236188E-86</v>
      </c>
      <c r="H28">
        <f t="shared" si="6"/>
        <v>1.8094401508125967E-11</v>
      </c>
      <c r="I28" s="161">
        <f t="shared" si="7"/>
        <v>8.9541710105502208E-3</v>
      </c>
      <c r="J28" s="2">
        <f t="shared" si="0"/>
        <v>9.3288223615792358E-3</v>
      </c>
      <c r="K28" s="2">
        <f t="shared" si="8"/>
        <v>8.9541710105502208E-3</v>
      </c>
      <c r="L28" s="2">
        <f t="shared" si="9"/>
        <v>9.3288223615792358E-3</v>
      </c>
      <c r="M28" s="2">
        <f t="shared" si="10"/>
        <v>8.9541710286446217E-3</v>
      </c>
      <c r="N28" s="2">
        <f t="shared" si="11"/>
        <v>9.3288223580839102E-3</v>
      </c>
      <c r="O28" s="82"/>
      <c r="P28" s="82"/>
      <c r="Q28" s="82"/>
    </row>
    <row r="29" spans="1:34" ht="17.25" customHeight="1" x14ac:dyDescent="0.25">
      <c r="A29" s="5">
        <v>0.496</v>
      </c>
      <c r="B29" s="3">
        <f t="shared" si="1"/>
        <v>-1.0115879742752119</v>
      </c>
      <c r="C29" s="64">
        <v>0.11480899999999999</v>
      </c>
      <c r="D29" s="1">
        <f t="shared" si="2"/>
        <v>1.232354081404289E-2</v>
      </c>
      <c r="E29" s="157">
        <f t="shared" si="3"/>
        <v>1.0503269344556481E-2</v>
      </c>
      <c r="F29" s="1">
        <f t="shared" si="4"/>
        <v>2.6154816655846862E-25</v>
      </c>
      <c r="G29">
        <f t="shared" si="5"/>
        <v>3.3409620124567856E-83</v>
      </c>
      <c r="H29">
        <f t="shared" si="6"/>
        <v>5.6891929886846125E-11</v>
      </c>
      <c r="I29" s="161">
        <f t="shared" si="7"/>
        <v>1.232354081404289E-2</v>
      </c>
      <c r="J29" s="2">
        <f t="shared" si="0"/>
        <v>1.0503269344556481E-2</v>
      </c>
      <c r="K29" s="2">
        <f t="shared" si="8"/>
        <v>1.232354081404289E-2</v>
      </c>
      <c r="L29" s="2">
        <f t="shared" si="9"/>
        <v>1.0503269344556481E-2</v>
      </c>
      <c r="M29" s="2">
        <f t="shared" si="10"/>
        <v>1.232354087093482E-2</v>
      </c>
      <c r="N29" s="2">
        <f t="shared" si="11"/>
        <v>1.0503269332895289E-2</v>
      </c>
      <c r="O29" s="82"/>
      <c r="P29" s="82"/>
      <c r="Q29" s="82"/>
      <c r="AC29" s="140"/>
      <c r="AD29" s="141"/>
      <c r="AE29" s="141"/>
      <c r="AF29" s="141"/>
      <c r="AG29" s="141"/>
      <c r="AH29" s="142"/>
    </row>
    <row r="30" spans="1:34" ht="24.75" customHeight="1" x14ac:dyDescent="0.4">
      <c r="A30" s="5">
        <v>0.54500000000000004</v>
      </c>
      <c r="B30" s="3">
        <f t="shared" si="1"/>
        <v>-0.87567186499779814</v>
      </c>
      <c r="C30" s="64">
        <v>0.124846</v>
      </c>
      <c r="D30" s="1">
        <f t="shared" si="2"/>
        <v>1.6870151260915706E-2</v>
      </c>
      <c r="E30" s="157">
        <f t="shared" si="3"/>
        <v>1.1658783910925612E-2</v>
      </c>
      <c r="F30" s="1">
        <f t="shared" si="4"/>
        <v>3.4612690355424573E-24</v>
      </c>
      <c r="G30">
        <f t="shared" si="5"/>
        <v>7.8144654222338382E-80</v>
      </c>
      <c r="H30">
        <f t="shared" si="6"/>
        <v>1.7690358859253461E-10</v>
      </c>
      <c r="I30" s="161">
        <f t="shared" si="7"/>
        <v>1.6870151260915706E-2</v>
      </c>
      <c r="J30" s="2">
        <f t="shared" si="0"/>
        <v>1.1658783910925612E-2</v>
      </c>
      <c r="K30" s="2">
        <f t="shared" si="8"/>
        <v>1.6870151260915706E-2</v>
      </c>
      <c r="L30" s="2">
        <f t="shared" si="9"/>
        <v>1.1658783910925612E-2</v>
      </c>
      <c r="M30" s="2">
        <f t="shared" si="10"/>
        <v>1.6870151437819295E-2</v>
      </c>
      <c r="N30" s="2">
        <f t="shared" si="11"/>
        <v>1.1658783872722981E-2</v>
      </c>
      <c r="AC30" s="143"/>
      <c r="AD30" s="144" t="s">
        <v>56</v>
      </c>
      <c r="AE30" s="145"/>
      <c r="AF30" s="145"/>
      <c r="AG30" s="145"/>
      <c r="AH30" s="146"/>
    </row>
    <row r="31" spans="1:34" ht="15.75" thickBot="1" x14ac:dyDescent="0.3">
      <c r="A31" s="5">
        <v>0.59799999999999998</v>
      </c>
      <c r="B31" s="3">
        <f t="shared" si="1"/>
        <v>-0.74178261046398208</v>
      </c>
      <c r="C31" s="64">
        <v>0.135967</v>
      </c>
      <c r="D31" s="1">
        <f t="shared" si="2"/>
        <v>2.2763693396431469E-2</v>
      </c>
      <c r="E31" s="157">
        <f t="shared" si="3"/>
        <v>1.2814988625981542E-2</v>
      </c>
      <c r="F31" s="1">
        <f t="shared" si="4"/>
        <v>4.158667215549504E-23</v>
      </c>
      <c r="G31">
        <f t="shared" si="5"/>
        <v>1.391472344445038E-76</v>
      </c>
      <c r="H31">
        <f t="shared" si="6"/>
        <v>5.2648841093095214E-10</v>
      </c>
      <c r="I31" s="161">
        <f t="shared" si="7"/>
        <v>2.2763693396431469E-2</v>
      </c>
      <c r="J31" s="2">
        <f t="shared" si="0"/>
        <v>1.2814988625981542E-2</v>
      </c>
      <c r="K31" s="2">
        <f t="shared" si="8"/>
        <v>2.2763693396431469E-2</v>
      </c>
      <c r="L31" s="2">
        <f t="shared" si="9"/>
        <v>1.2814988625981542E-2</v>
      </c>
      <c r="M31" s="2">
        <f t="shared" si="10"/>
        <v>2.2763693922919881E-2</v>
      </c>
      <c r="N31" s="2">
        <f t="shared" si="11"/>
        <v>1.2814988506781085E-2</v>
      </c>
      <c r="AC31" s="147"/>
      <c r="AD31" s="148"/>
      <c r="AE31" s="148"/>
      <c r="AF31" s="148"/>
      <c r="AG31" s="148"/>
      <c r="AH31" s="149"/>
    </row>
    <row r="32" spans="1:34" x14ac:dyDescent="0.25">
      <c r="A32" s="5">
        <v>0.65600000000000003</v>
      </c>
      <c r="B32" s="3">
        <f t="shared" si="1"/>
        <v>-0.60823228004400332</v>
      </c>
      <c r="C32" s="64">
        <v>0.148339</v>
      </c>
      <c r="D32" s="1">
        <f t="shared" si="2"/>
        <v>3.0398968731031546E-2</v>
      </c>
      <c r="E32" s="157">
        <f t="shared" si="3"/>
        <v>1.3909850975725257E-2</v>
      </c>
      <c r="F32" s="1">
        <f t="shared" si="4"/>
        <v>4.6879904354884482E-22</v>
      </c>
      <c r="G32">
        <f t="shared" si="5"/>
        <v>2.081512673585673E-73</v>
      </c>
      <c r="H32">
        <f t="shared" si="6"/>
        <v>1.521553372876675E-9</v>
      </c>
      <c r="I32" s="161">
        <f t="shared" si="7"/>
        <v>3.0398968731031546E-2</v>
      </c>
      <c r="J32" s="2">
        <f t="shared" si="0"/>
        <v>1.3909850975725257E-2</v>
      </c>
      <c r="K32" s="2">
        <f t="shared" si="8"/>
        <v>3.0398968731031546E-2</v>
      </c>
      <c r="L32" s="2">
        <f t="shared" si="9"/>
        <v>1.3909850975725257E-2</v>
      </c>
      <c r="M32" s="2">
        <f t="shared" si="10"/>
        <v>3.0398970252584919E-2</v>
      </c>
      <c r="N32" s="2">
        <f t="shared" si="11"/>
        <v>1.3909850616821153E-2</v>
      </c>
    </row>
    <row r="33" spans="1:17" x14ac:dyDescent="0.25">
      <c r="A33" s="5">
        <v>0.72099999999999997</v>
      </c>
      <c r="B33" s="3">
        <f t="shared" si="1"/>
        <v>-0.47192883542126463</v>
      </c>
      <c r="C33" s="64">
        <v>0.162052</v>
      </c>
      <c r="D33" s="1">
        <f t="shared" si="2"/>
        <v>4.0435392413845424E-2</v>
      </c>
      <c r="E33" s="157">
        <f t="shared" si="3"/>
        <v>1.4790599240764713E-2</v>
      </c>
      <c r="F33" s="1">
        <f t="shared" si="4"/>
        <v>5.2361167896518594E-21</v>
      </c>
      <c r="G33">
        <f t="shared" si="5"/>
        <v>3.0851729710635002E-70</v>
      </c>
      <c r="H33">
        <f t="shared" si="6"/>
        <v>4.3730801282769901E-9</v>
      </c>
      <c r="I33" s="161">
        <f t="shared" si="7"/>
        <v>4.0435392413845424E-2</v>
      </c>
      <c r="J33" s="2">
        <f t="shared" si="0"/>
        <v>1.4790599240764713E-2</v>
      </c>
      <c r="K33" s="2">
        <f t="shared" si="8"/>
        <v>4.0435392413845424E-2</v>
      </c>
      <c r="L33" s="2">
        <f t="shared" si="9"/>
        <v>1.4790599240764713E-2</v>
      </c>
      <c r="M33" s="2">
        <f t="shared" si="10"/>
        <v>4.0435396786925551E-2</v>
      </c>
      <c r="N33" s="2">
        <f t="shared" si="11"/>
        <v>1.4790598177086391E-2</v>
      </c>
    </row>
    <row r="34" spans="1:17" x14ac:dyDescent="0.25">
      <c r="A34" s="5">
        <v>0.79100000000000004</v>
      </c>
      <c r="B34" s="3">
        <f t="shared" si="1"/>
        <v>-0.33825040018929514</v>
      </c>
      <c r="C34" s="64">
        <v>0.177144</v>
      </c>
      <c r="D34" s="1">
        <f t="shared" si="2"/>
        <v>5.2973209049479213E-2</v>
      </c>
      <c r="E34" s="157">
        <f t="shared" si="3"/>
        <v>1.5418385325277933E-2</v>
      </c>
      <c r="F34" s="1">
        <f t="shared" si="4"/>
        <v>5.2678579946433923E-20</v>
      </c>
      <c r="G34">
        <f t="shared" si="5"/>
        <v>3.3959724267371515E-67</v>
      </c>
      <c r="H34">
        <f t="shared" si="6"/>
        <v>1.1988967545859206E-8</v>
      </c>
      <c r="I34" s="161">
        <f t="shared" si="7"/>
        <v>5.2973209049479213E-2</v>
      </c>
      <c r="J34" s="2">
        <f t="shared" ref="J34:J65" si="12">(C34-I34)^2</f>
        <v>1.5418385325277933E-2</v>
      </c>
      <c r="K34" s="2">
        <f t="shared" si="8"/>
        <v>5.2973209049479213E-2</v>
      </c>
      <c r="L34" s="2">
        <f t="shared" si="9"/>
        <v>1.5418385325277933E-2</v>
      </c>
      <c r="M34" s="2">
        <f t="shared" si="10"/>
        <v>5.2973221038446761E-2</v>
      </c>
      <c r="N34" s="2">
        <f t="shared" si="11"/>
        <v>1.5418382347918912E-2</v>
      </c>
      <c r="P34" s="178" t="s">
        <v>86</v>
      </c>
      <c r="Q34" s="178"/>
    </row>
    <row r="35" spans="1:17" x14ac:dyDescent="0.25">
      <c r="A35" s="5">
        <v>0.86799999999999999</v>
      </c>
      <c r="B35" s="3">
        <f t="shared" si="1"/>
        <v>-0.20423305221760774</v>
      </c>
      <c r="C35" s="64">
        <v>0.19392300000000001</v>
      </c>
      <c r="D35" s="1">
        <f t="shared" si="2"/>
        <v>6.8778296537838568E-2</v>
      </c>
      <c r="E35" s="157">
        <f t="shared" si="3"/>
        <v>1.5661196804632321E-2</v>
      </c>
      <c r="F35" s="1">
        <f t="shared" si="4"/>
        <v>5.0319509139542698E-19</v>
      </c>
      <c r="G35">
        <f t="shared" si="5"/>
        <v>3.255496669635389E-64</v>
      </c>
      <c r="H35">
        <f t="shared" si="6"/>
        <v>3.2083390242512774E-8</v>
      </c>
      <c r="I35" s="161">
        <f t="shared" si="7"/>
        <v>6.8778296537838568E-2</v>
      </c>
      <c r="J35" s="2">
        <f t="shared" si="12"/>
        <v>1.5661196804632321E-2</v>
      </c>
      <c r="K35" s="2">
        <f t="shared" si="8"/>
        <v>6.8778296537838568E-2</v>
      </c>
      <c r="L35" s="2">
        <f t="shared" si="9"/>
        <v>1.5661196804632321E-2</v>
      </c>
      <c r="M35" s="2">
        <f t="shared" si="10"/>
        <v>6.8778328621228804E-2</v>
      </c>
      <c r="N35" s="2">
        <f t="shared" si="11"/>
        <v>1.566118877450064E-2</v>
      </c>
      <c r="P35" s="63" t="s">
        <v>87</v>
      </c>
      <c r="Q35" s="4">
        <f>RSQ(D2:D118,C2:C118)</f>
        <v>0.40409024026652185</v>
      </c>
    </row>
    <row r="36" spans="1:17" x14ac:dyDescent="0.25">
      <c r="A36" s="5">
        <v>0.95299999999999996</v>
      </c>
      <c r="B36" s="3">
        <f t="shared" si="1"/>
        <v>-6.9451880752145215E-2</v>
      </c>
      <c r="C36" s="64">
        <v>0.21282499999999999</v>
      </c>
      <c r="D36" s="1">
        <f t="shared" si="2"/>
        <v>8.8563478585618E-2</v>
      </c>
      <c r="E36" s="157">
        <f t="shared" si="3"/>
        <v>1.5440925704216913E-2</v>
      </c>
      <c r="F36" s="1">
        <f t="shared" si="4"/>
        <v>4.5931828952791271E-18</v>
      </c>
      <c r="G36">
        <f t="shared" si="5"/>
        <v>2.7723897472133625E-61</v>
      </c>
      <c r="H36">
        <f t="shared" si="6"/>
        <v>8.4041669479878969E-8</v>
      </c>
      <c r="I36" s="161">
        <f t="shared" si="7"/>
        <v>8.8563478585618E-2</v>
      </c>
      <c r="J36" s="2">
        <f t="shared" si="12"/>
        <v>1.5440925704216913E-2</v>
      </c>
      <c r="K36" s="2">
        <f t="shared" si="8"/>
        <v>8.8563478585618E-2</v>
      </c>
      <c r="L36" s="2">
        <f t="shared" si="9"/>
        <v>1.5440925704216913E-2</v>
      </c>
      <c r="M36" s="2">
        <f t="shared" si="10"/>
        <v>8.8563562627287484E-2</v>
      </c>
      <c r="N36" s="2">
        <f t="shared" si="11"/>
        <v>1.5440904817932552E-2</v>
      </c>
      <c r="P36" s="63" t="s">
        <v>73</v>
      </c>
      <c r="Q36" s="4">
        <f>RSQ(I2:I118,C2:C118)</f>
        <v>0.76268883217619032</v>
      </c>
    </row>
    <row r="37" spans="1:17" x14ac:dyDescent="0.25">
      <c r="A37" s="6">
        <v>1.0469999999999999</v>
      </c>
      <c r="B37" s="3">
        <f t="shared" si="1"/>
        <v>6.6261442268721271E-2</v>
      </c>
      <c r="C37" s="64">
        <v>0.23433200000000001</v>
      </c>
      <c r="D37" s="1">
        <f t="shared" si="2"/>
        <v>0.11311570694518272</v>
      </c>
      <c r="E37" s="157">
        <f t="shared" si="3"/>
        <v>1.4693389701951347E-2</v>
      </c>
      <c r="F37" s="1">
        <f t="shared" si="4"/>
        <v>4.013157511008857E-17</v>
      </c>
      <c r="G37">
        <f t="shared" si="5"/>
        <v>2.1088193799318151E-58</v>
      </c>
      <c r="H37">
        <f t="shared" si="6"/>
        <v>2.1563805212483126E-7</v>
      </c>
      <c r="I37" s="161">
        <f t="shared" si="7"/>
        <v>0.11311570694518276</v>
      </c>
      <c r="J37" s="2">
        <f t="shared" si="12"/>
        <v>1.4693389701951337E-2</v>
      </c>
      <c r="K37" s="2">
        <f t="shared" si="8"/>
        <v>0.11311570694518276</v>
      </c>
      <c r="L37" s="2">
        <f t="shared" si="9"/>
        <v>1.4693389701951337E-2</v>
      </c>
      <c r="M37" s="2">
        <f t="shared" si="10"/>
        <v>0.11311592258323488</v>
      </c>
      <c r="N37" s="2">
        <f t="shared" si="11"/>
        <v>1.4693337424307196E-2</v>
      </c>
      <c r="P37" s="63" t="s">
        <v>69</v>
      </c>
      <c r="Q37" s="4">
        <f>RSQ(K2:K118,C2:C118)</f>
        <v>0.9964463804389545</v>
      </c>
    </row>
    <row r="38" spans="1:17" x14ac:dyDescent="0.25">
      <c r="A38" s="6">
        <v>1.149</v>
      </c>
      <c r="B38" s="3">
        <f t="shared" si="1"/>
        <v>0.20037879798402627</v>
      </c>
      <c r="C38" s="64">
        <v>0.25890400000000002</v>
      </c>
      <c r="D38" s="1">
        <f t="shared" si="2"/>
        <v>0.14266189011220787</v>
      </c>
      <c r="E38" s="157">
        <f t="shared" si="3"/>
        <v>1.3512228111165547E-2</v>
      </c>
      <c r="F38" s="1">
        <f t="shared" si="4"/>
        <v>3.2248179428818175E-16</v>
      </c>
      <c r="G38">
        <f t="shared" si="5"/>
        <v>1.2676749806224532E-55</v>
      </c>
      <c r="H38">
        <f t="shared" si="6"/>
        <v>5.3264276071727797E-7</v>
      </c>
      <c r="I38" s="161">
        <f t="shared" si="7"/>
        <v>0.1426618901122082</v>
      </c>
      <c r="J38" s="2">
        <f t="shared" si="12"/>
        <v>1.3512228111165469E-2</v>
      </c>
      <c r="K38" s="2">
        <f t="shared" si="8"/>
        <v>0.1426618901122082</v>
      </c>
      <c r="L38" s="2">
        <f t="shared" si="9"/>
        <v>1.3512228111165469E-2</v>
      </c>
      <c r="M38" s="2">
        <f t="shared" si="10"/>
        <v>0.14266242275496893</v>
      </c>
      <c r="N38" s="2">
        <f t="shared" si="11"/>
        <v>1.351210428041253E-2</v>
      </c>
      <c r="P38" s="63" t="s">
        <v>70</v>
      </c>
      <c r="Q38" s="4">
        <f>RSQ(M2:M118, C2:C118)</f>
        <v>0.98162036491914095</v>
      </c>
    </row>
    <row r="39" spans="1:17" x14ac:dyDescent="0.25">
      <c r="A39" s="6">
        <v>1.2609999999999999</v>
      </c>
      <c r="B39" s="3">
        <f t="shared" si="1"/>
        <v>0.33456827566613273</v>
      </c>
      <c r="C39" s="64">
        <v>0.28695300000000001</v>
      </c>
      <c r="D39" s="1">
        <f t="shared" si="2"/>
        <v>0.17821136016959704</v>
      </c>
      <c r="E39" s="157">
        <f t="shared" si="3"/>
        <v>1.1824744233005082E-2</v>
      </c>
      <c r="F39" s="1">
        <f t="shared" si="4"/>
        <v>2.4482573106979377E-15</v>
      </c>
      <c r="G39">
        <f t="shared" si="5"/>
        <v>6.5386176451761051E-53</v>
      </c>
      <c r="H39">
        <f t="shared" si="6"/>
        <v>1.2814748420666259E-6</v>
      </c>
      <c r="I39" s="161">
        <f t="shared" si="7"/>
        <v>0.17821136016959949</v>
      </c>
      <c r="J39" s="2">
        <f t="shared" si="12"/>
        <v>1.182474423300455E-2</v>
      </c>
      <c r="K39" s="2">
        <f t="shared" si="8"/>
        <v>0.17821136016959949</v>
      </c>
      <c r="L39" s="2">
        <f t="shared" si="9"/>
        <v>1.182474423300455E-2</v>
      </c>
      <c r="M39" s="2">
        <f t="shared" si="10"/>
        <v>0.17821264164444156</v>
      </c>
      <c r="N39" s="2">
        <f t="shared" si="11"/>
        <v>1.1824465535295271E-2</v>
      </c>
    </row>
    <row r="40" spans="1:17" x14ac:dyDescent="0.25">
      <c r="A40" s="6">
        <v>1.3839999999999999</v>
      </c>
      <c r="B40" s="3">
        <f t="shared" si="1"/>
        <v>0.46884394297463744</v>
      </c>
      <c r="C40" s="64">
        <v>0.31918800000000003</v>
      </c>
      <c r="D40" s="1">
        <f t="shared" si="2"/>
        <v>0.22049960813085565</v>
      </c>
      <c r="E40" s="157">
        <f t="shared" si="3"/>
        <v>9.7393986897178035E-3</v>
      </c>
      <c r="F40" s="1">
        <f t="shared" si="4"/>
        <v>1.7562629726969491E-14</v>
      </c>
      <c r="G40">
        <f t="shared" si="5"/>
        <v>2.8949260126881055E-50</v>
      </c>
      <c r="H40">
        <f t="shared" si="6"/>
        <v>3.0030801222929969E-6</v>
      </c>
      <c r="I40" s="161">
        <f t="shared" si="7"/>
        <v>0.22049960813087321</v>
      </c>
      <c r="J40" s="2">
        <f t="shared" si="12"/>
        <v>9.7393986897143358E-3</v>
      </c>
      <c r="K40" s="2">
        <f t="shared" si="8"/>
        <v>0.22049960813087321</v>
      </c>
      <c r="L40" s="2">
        <f t="shared" si="9"/>
        <v>9.7393986897143358E-3</v>
      </c>
      <c r="M40" s="2">
        <f t="shared" si="10"/>
        <v>0.22050261121099551</v>
      </c>
      <c r="N40" s="2">
        <f t="shared" si="11"/>
        <v>9.7388059604369779E-3</v>
      </c>
    </row>
    <row r="41" spans="1:17" x14ac:dyDescent="0.25">
      <c r="A41" s="6">
        <v>1.52</v>
      </c>
      <c r="B41" s="3">
        <f t="shared" si="1"/>
        <v>0.60407132366886085</v>
      </c>
      <c r="C41" s="64">
        <v>0.35650700000000002</v>
      </c>
      <c r="D41" s="1">
        <f t="shared" si="2"/>
        <v>0.27056544811454669</v>
      </c>
      <c r="E41" s="157">
        <f t="shared" si="3"/>
        <v>7.3859503404800665E-3</v>
      </c>
      <c r="F41" s="1">
        <f t="shared" si="4"/>
        <v>1.2048302785474033E-13</v>
      </c>
      <c r="G41">
        <f t="shared" si="5"/>
        <v>1.1421629878663474E-47</v>
      </c>
      <c r="H41">
        <f t="shared" si="6"/>
        <v>6.8905681606557274E-6</v>
      </c>
      <c r="I41" s="161">
        <f t="shared" si="7"/>
        <v>0.27056544811466715</v>
      </c>
      <c r="J41" s="2">
        <f t="shared" si="12"/>
        <v>7.3859503404593617E-3</v>
      </c>
      <c r="K41" s="2">
        <f t="shared" si="8"/>
        <v>0.27056544811466715</v>
      </c>
      <c r="L41" s="2">
        <f t="shared" si="9"/>
        <v>7.3859503404593617E-3</v>
      </c>
      <c r="M41" s="2">
        <f t="shared" si="10"/>
        <v>0.27057233868282782</v>
      </c>
      <c r="N41" s="2">
        <f t="shared" si="11"/>
        <v>7.3847660156970921E-3</v>
      </c>
    </row>
    <row r="42" spans="1:17" x14ac:dyDescent="0.25">
      <c r="A42" s="6">
        <v>1.6679999999999999</v>
      </c>
      <c r="B42" s="3">
        <f t="shared" si="1"/>
        <v>0.73811928878257649</v>
      </c>
      <c r="C42" s="64">
        <v>0.40020800000000001</v>
      </c>
      <c r="D42" s="1">
        <f t="shared" si="2"/>
        <v>0.32820047516890732</v>
      </c>
      <c r="E42" s="157">
        <f t="shared" si="3"/>
        <v>5.1850836323004291E-3</v>
      </c>
      <c r="F42" s="1">
        <f t="shared" si="4"/>
        <v>7.6691974409907373E-13</v>
      </c>
      <c r="G42">
        <f t="shared" si="5"/>
        <v>3.6560990628897114E-45</v>
      </c>
      <c r="H42">
        <f t="shared" si="6"/>
        <v>1.5279876848567144E-5</v>
      </c>
      <c r="I42" s="161">
        <f t="shared" si="7"/>
        <v>0.32820047516967427</v>
      </c>
      <c r="J42" s="2">
        <f t="shared" si="12"/>
        <v>5.1850836321899784E-3</v>
      </c>
      <c r="K42" s="2">
        <f t="shared" si="8"/>
        <v>0.32820047516967427</v>
      </c>
      <c r="L42" s="2">
        <f t="shared" si="9"/>
        <v>5.1850836321899784E-3</v>
      </c>
      <c r="M42" s="2">
        <f t="shared" si="10"/>
        <v>0.32821575504652284</v>
      </c>
      <c r="N42" s="2">
        <f t="shared" si="11"/>
        <v>5.1828833334414586E-3</v>
      </c>
    </row>
    <row r="43" spans="1:17" x14ac:dyDescent="0.25">
      <c r="A43" s="6">
        <v>1.8320000000000001</v>
      </c>
      <c r="B43" s="3">
        <f t="shared" si="1"/>
        <v>0.87341950343485697</v>
      </c>
      <c r="C43" s="64">
        <v>0.45141700000000001</v>
      </c>
      <c r="D43" s="1">
        <f t="shared" si="2"/>
        <v>0.39493566273621067</v>
      </c>
      <c r="E43" s="157">
        <f t="shared" si="3"/>
        <v>3.1901414591059187E-3</v>
      </c>
      <c r="F43" s="1">
        <f t="shared" si="4"/>
        <v>4.6840624114981162E-12</v>
      </c>
      <c r="G43">
        <f t="shared" si="5"/>
        <v>1.054139425022441E-42</v>
      </c>
      <c r="H43">
        <f t="shared" si="6"/>
        <v>3.3222011740844348E-5</v>
      </c>
      <c r="I43" s="161">
        <f t="shared" si="7"/>
        <v>0.39493566274089476</v>
      </c>
      <c r="J43" s="2">
        <f t="shared" si="12"/>
        <v>3.1901414585767916E-3</v>
      </c>
      <c r="K43" s="2">
        <f t="shared" si="8"/>
        <v>0.39493566274089476</v>
      </c>
      <c r="L43" s="2">
        <f t="shared" si="9"/>
        <v>3.1901414585767916E-3</v>
      </c>
      <c r="M43" s="2">
        <f t="shared" si="10"/>
        <v>0.39496888475263559</v>
      </c>
      <c r="N43" s="2">
        <f t="shared" si="11"/>
        <v>3.1863897149797364E-3</v>
      </c>
    </row>
    <row r="44" spans="1:17" x14ac:dyDescent="0.25">
      <c r="A44" s="6">
        <v>2.0110000000000001</v>
      </c>
      <c r="B44" s="3">
        <f t="shared" si="1"/>
        <v>1.0079130816432649</v>
      </c>
      <c r="C44" s="64">
        <v>0.51127999999999996</v>
      </c>
      <c r="D44" s="1">
        <f t="shared" si="2"/>
        <v>0.4700991428599679</v>
      </c>
      <c r="E44" s="157">
        <f t="shared" si="3"/>
        <v>1.6958629947877292E-3</v>
      </c>
      <c r="F44" s="1">
        <f t="shared" si="4"/>
        <v>2.6696827418509329E-11</v>
      </c>
      <c r="G44">
        <f t="shared" si="5"/>
        <v>2.509551860828434E-40</v>
      </c>
      <c r="H44">
        <f t="shared" si="6"/>
        <v>6.9981329977282281E-5</v>
      </c>
      <c r="I44" s="161">
        <f t="shared" si="7"/>
        <v>0.47009914288666471</v>
      </c>
      <c r="J44" s="2">
        <f t="shared" si="12"/>
        <v>1.695862992588934E-3</v>
      </c>
      <c r="K44" s="2">
        <f t="shared" si="8"/>
        <v>0.47009914288666471</v>
      </c>
      <c r="L44" s="2">
        <f t="shared" si="9"/>
        <v>1.695862992588934E-3</v>
      </c>
      <c r="M44" s="2">
        <f t="shared" si="10"/>
        <v>0.47016912421664198</v>
      </c>
      <c r="N44" s="2">
        <f t="shared" si="11"/>
        <v>1.6901041076746897E-3</v>
      </c>
    </row>
    <row r="45" spans="1:17" x14ac:dyDescent="0.25">
      <c r="A45" s="6">
        <v>2.2069999999999999</v>
      </c>
      <c r="B45" s="3">
        <f t="shared" si="1"/>
        <v>1.1420866296175269</v>
      </c>
      <c r="C45" s="64">
        <v>0.58056399999999997</v>
      </c>
      <c r="D45" s="1">
        <f t="shared" si="2"/>
        <v>0.55393081244921916</v>
      </c>
      <c r="E45" s="157">
        <f t="shared" si="3"/>
        <v>7.0932667911506608E-4</v>
      </c>
      <c r="F45" s="1">
        <f t="shared" si="4"/>
        <v>1.4299258056033257E-10</v>
      </c>
      <c r="G45">
        <f t="shared" si="5"/>
        <v>5.0416276845130491E-38</v>
      </c>
      <c r="H45">
        <f t="shared" si="6"/>
        <v>1.4325392732060161E-4</v>
      </c>
      <c r="I45" s="161">
        <f t="shared" si="7"/>
        <v>0.55393081259221177</v>
      </c>
      <c r="J45" s="2">
        <f t="shared" si="12"/>
        <v>7.0932667149836768E-4</v>
      </c>
      <c r="K45" s="2">
        <f t="shared" si="8"/>
        <v>0.55393081259221177</v>
      </c>
      <c r="L45" s="2">
        <f t="shared" si="9"/>
        <v>7.0932667149836768E-4</v>
      </c>
      <c r="M45" s="2">
        <f t="shared" si="10"/>
        <v>0.55407406651953239</v>
      </c>
      <c r="N45" s="2">
        <f t="shared" si="11"/>
        <v>7.0171657579959704E-4</v>
      </c>
    </row>
    <row r="46" spans="1:17" x14ac:dyDescent="0.25">
      <c r="A46" s="6">
        <v>2.423</v>
      </c>
      <c r="B46" s="3">
        <f t="shared" si="1"/>
        <v>1.2767944047892594</v>
      </c>
      <c r="C46" s="64">
        <v>0.65978199999999998</v>
      </c>
      <c r="D46" s="1">
        <f t="shared" si="2"/>
        <v>0.64679726491799283</v>
      </c>
      <c r="E46" s="157">
        <f t="shared" si="3"/>
        <v>1.6860334514990719E-4</v>
      </c>
      <c r="F46" s="1">
        <f t="shared" si="4"/>
        <v>7.2738498619551153E-10</v>
      </c>
      <c r="G46">
        <f t="shared" si="5"/>
        <v>8.837334526932511E-36</v>
      </c>
      <c r="H46">
        <f t="shared" si="6"/>
        <v>2.8625420838393419E-4</v>
      </c>
      <c r="I46" s="161">
        <f t="shared" si="7"/>
        <v>0.64679726564537787</v>
      </c>
      <c r="J46" s="2">
        <f t="shared" si="12"/>
        <v>1.6860332626010359E-4</v>
      </c>
      <c r="K46" s="2">
        <f t="shared" si="8"/>
        <v>0.64679726564537787</v>
      </c>
      <c r="L46" s="2">
        <f t="shared" si="9"/>
        <v>1.6860332626010359E-4</v>
      </c>
      <c r="M46" s="2">
        <f t="shared" si="10"/>
        <v>0.64708351985376178</v>
      </c>
      <c r="N46" s="2">
        <f t="shared" si="11"/>
        <v>1.6125139802440573E-4</v>
      </c>
    </row>
    <row r="47" spans="1:17" x14ac:dyDescent="0.25">
      <c r="A47" s="6">
        <v>2.66</v>
      </c>
      <c r="B47" s="3">
        <f t="shared" si="1"/>
        <v>1.411426245726465</v>
      </c>
      <c r="C47" s="64">
        <v>0.74883999999999995</v>
      </c>
      <c r="D47" s="1">
        <f t="shared" si="2"/>
        <v>0.74782656048671736</v>
      </c>
      <c r="E47" s="157">
        <f t="shared" si="3"/>
        <v>1.0270596470824488E-6</v>
      </c>
      <c r="F47" s="1">
        <f t="shared" si="4"/>
        <v>3.4872498173431029E-9</v>
      </c>
      <c r="G47">
        <f t="shared" si="5"/>
        <v>1.3192753449102397E-33</v>
      </c>
      <c r="H47">
        <f t="shared" si="6"/>
        <v>5.5654029795460924E-4</v>
      </c>
      <c r="I47" s="161">
        <f t="shared" si="7"/>
        <v>0.74782656397396718</v>
      </c>
      <c r="J47" s="2">
        <f t="shared" si="12"/>
        <v>1.0270525788610846E-6</v>
      </c>
      <c r="K47" s="2">
        <f t="shared" si="8"/>
        <v>0.74782656397396718</v>
      </c>
      <c r="L47" s="2">
        <f t="shared" si="9"/>
        <v>1.0270525788610846E-6</v>
      </c>
      <c r="M47" s="2">
        <f t="shared" si="10"/>
        <v>0.74838310427192178</v>
      </c>
      <c r="N47" s="2">
        <f t="shared" si="11"/>
        <v>2.0875370633607743E-7</v>
      </c>
    </row>
    <row r="48" spans="1:17" x14ac:dyDescent="0.25">
      <c r="A48" s="6">
        <v>2.92</v>
      </c>
      <c r="B48" s="3">
        <f t="shared" si="1"/>
        <v>1.5459683691052926</v>
      </c>
      <c r="C48" s="64">
        <v>0.84682500000000005</v>
      </c>
      <c r="D48" s="1">
        <f t="shared" si="2"/>
        <v>0.85616019060712434</v>
      </c>
      <c r="E48" s="157">
        <f t="shared" si="3"/>
        <v>8.7145783671341545E-5</v>
      </c>
      <c r="F48" s="1">
        <f t="shared" si="4"/>
        <v>1.5756027773160498E-8</v>
      </c>
      <c r="G48">
        <f t="shared" si="5"/>
        <v>1.676937919277447E-31</v>
      </c>
      <c r="H48">
        <f t="shared" si="6"/>
        <v>1.0527683697559248E-3</v>
      </c>
      <c r="I48" s="161">
        <f t="shared" si="7"/>
        <v>0.85616020636315215</v>
      </c>
      <c r="J48" s="2">
        <f t="shared" si="12"/>
        <v>8.7146077842635531E-5</v>
      </c>
      <c r="K48" s="2">
        <f t="shared" si="8"/>
        <v>0.85616020636315215</v>
      </c>
      <c r="L48" s="2">
        <f t="shared" si="9"/>
        <v>8.7146077842635531E-5</v>
      </c>
      <c r="M48" s="2">
        <f t="shared" si="10"/>
        <v>0.85721297473290803</v>
      </c>
      <c r="N48" s="2">
        <f t="shared" si="11"/>
        <v>1.0791001905153459E-4</v>
      </c>
    </row>
    <row r="49" spans="1:14" x14ac:dyDescent="0.25">
      <c r="A49" s="6">
        <v>3.2050000000000001</v>
      </c>
      <c r="B49" s="3">
        <f t="shared" si="1"/>
        <v>1.6803243568440163</v>
      </c>
      <c r="C49" s="64">
        <v>0.95206000000000002</v>
      </c>
      <c r="D49" s="1">
        <f t="shared" si="2"/>
        <v>0.97051337403234794</v>
      </c>
      <c r="E49" s="157">
        <f t="shared" si="3"/>
        <v>3.405270131777327E-4</v>
      </c>
      <c r="F49" s="1">
        <f t="shared" si="4"/>
        <v>6.7029157690055148E-8</v>
      </c>
      <c r="G49">
        <f t="shared" si="5"/>
        <v>1.8095399098969326E-29</v>
      </c>
      <c r="H49">
        <f t="shared" si="6"/>
        <v>1.9368595819770102E-3</v>
      </c>
      <c r="I49" s="161">
        <f t="shared" si="7"/>
        <v>0.97051344106150561</v>
      </c>
      <c r="J49" s="2">
        <f t="shared" si="12"/>
        <v>3.4052948701046066E-4</v>
      </c>
      <c r="K49" s="2">
        <f t="shared" si="8"/>
        <v>0.97051344106150561</v>
      </c>
      <c r="L49" s="2">
        <f t="shared" si="9"/>
        <v>3.4052948701046066E-4</v>
      </c>
      <c r="M49" s="2">
        <f t="shared" si="10"/>
        <v>0.97245030064348259</v>
      </c>
      <c r="N49" s="2">
        <f t="shared" si="11"/>
        <v>4.1576436033160581E-4</v>
      </c>
    </row>
    <row r="50" spans="1:14" x14ac:dyDescent="0.25">
      <c r="A50" s="6">
        <v>3.5190000000000001</v>
      </c>
      <c r="B50" s="3">
        <f t="shared" si="1"/>
        <v>1.8151655140875778</v>
      </c>
      <c r="C50" s="64">
        <v>1.06227</v>
      </c>
      <c r="D50" s="1">
        <f t="shared" si="2"/>
        <v>1.0899291928902108</v>
      </c>
      <c r="E50" s="157">
        <f t="shared" si="3"/>
        <v>7.6503095133788725E-4</v>
      </c>
      <c r="F50" s="1">
        <f t="shared" si="4"/>
        <v>2.7039063639933342E-7</v>
      </c>
      <c r="G50">
        <f t="shared" si="5"/>
        <v>1.6959735976920825E-27</v>
      </c>
      <c r="H50">
        <f t="shared" si="6"/>
        <v>3.4759728348292612E-3</v>
      </c>
      <c r="I50" s="161">
        <f t="shared" si="7"/>
        <v>1.0899294632808472</v>
      </c>
      <c r="J50" s="2">
        <f t="shared" si="12"/>
        <v>7.6504590898453001E-4</v>
      </c>
      <c r="K50" s="2">
        <f t="shared" si="8"/>
        <v>1.0899294632808472</v>
      </c>
      <c r="L50" s="2">
        <f t="shared" si="9"/>
        <v>7.6504590898453001E-4</v>
      </c>
      <c r="M50" s="2">
        <f t="shared" si="10"/>
        <v>1.0934054361156764</v>
      </c>
      <c r="N50" s="2">
        <f t="shared" si="11"/>
        <v>9.6941538211336466E-4</v>
      </c>
    </row>
    <row r="51" spans="1:14" x14ac:dyDescent="0.25">
      <c r="A51" s="6">
        <v>3.863</v>
      </c>
      <c r="B51" s="3">
        <f t="shared" si="1"/>
        <v>1.949721677569844</v>
      </c>
      <c r="C51" s="64">
        <v>1.17533</v>
      </c>
      <c r="D51" s="1">
        <f t="shared" si="2"/>
        <v>1.2118476057559602</v>
      </c>
      <c r="E51" s="157">
        <f t="shared" si="3"/>
        <v>1.333535530147737E-3</v>
      </c>
      <c r="F51" s="1">
        <f t="shared" si="4"/>
        <v>1.0259217444413161E-6</v>
      </c>
      <c r="G51">
        <f t="shared" si="5"/>
        <v>1.3447905421548062E-25</v>
      </c>
      <c r="H51">
        <f t="shared" si="6"/>
        <v>6.0644408216134899E-3</v>
      </c>
      <c r="I51" s="161">
        <f t="shared" si="7"/>
        <v>1.2118486316777046</v>
      </c>
      <c r="J51" s="2">
        <f t="shared" si="12"/>
        <v>1.3336104596118527E-3</v>
      </c>
      <c r="K51" s="2">
        <f t="shared" si="8"/>
        <v>1.2118486316777046</v>
      </c>
      <c r="L51" s="2">
        <f t="shared" si="9"/>
        <v>1.3336104596118527E-3</v>
      </c>
      <c r="M51" s="2">
        <f t="shared" si="10"/>
        <v>1.2179130724993181</v>
      </c>
      <c r="N51" s="2">
        <f t="shared" si="11"/>
        <v>1.813318063482185E-3</v>
      </c>
    </row>
    <row r="52" spans="1:14" x14ac:dyDescent="0.25">
      <c r="A52" s="6">
        <v>4.24</v>
      </c>
      <c r="B52" s="3">
        <f t="shared" si="1"/>
        <v>2.0840642647884744</v>
      </c>
      <c r="C52" s="64">
        <v>1.28887</v>
      </c>
      <c r="D52" s="1">
        <f t="shared" si="2"/>
        <v>1.3341316474188767</v>
      </c>
      <c r="E52" s="157">
        <f t="shared" si="3"/>
        <v>2.0486167270707101E-3</v>
      </c>
      <c r="F52" s="1">
        <f t="shared" si="4"/>
        <v>3.6650468513883607E-6</v>
      </c>
      <c r="G52">
        <f t="shared" si="5"/>
        <v>9.0503001212108976E-24</v>
      </c>
      <c r="H52">
        <f t="shared" si="6"/>
        <v>1.0290458289097176E-2</v>
      </c>
      <c r="I52" s="161">
        <f t="shared" si="7"/>
        <v>1.334135312465728</v>
      </c>
      <c r="J52" s="2">
        <f t="shared" si="12"/>
        <v>2.0489485126199969E-3</v>
      </c>
      <c r="K52" s="2">
        <f t="shared" si="8"/>
        <v>1.334135312465728</v>
      </c>
      <c r="L52" s="2">
        <f t="shared" si="9"/>
        <v>2.0489485126199969E-3</v>
      </c>
      <c r="M52" s="2">
        <f t="shared" si="10"/>
        <v>1.3444257707548253</v>
      </c>
      <c r="N52" s="2">
        <f t="shared" si="11"/>
        <v>3.0864436641627039E-3</v>
      </c>
    </row>
    <row r="53" spans="1:14" x14ac:dyDescent="0.25">
      <c r="A53" s="6">
        <v>4.6550000000000002</v>
      </c>
      <c r="B53" s="3">
        <f t="shared" si="1"/>
        <v>2.2187811677840692</v>
      </c>
      <c r="C53" s="64">
        <v>1.40042</v>
      </c>
      <c r="D53" s="1">
        <f t="shared" si="2"/>
        <v>1.4548741611133436</v>
      </c>
      <c r="E53" s="157">
        <f t="shared" si="3"/>
        <v>2.9652556625579776E-3</v>
      </c>
      <c r="F53" s="1">
        <f t="shared" si="4"/>
        <v>1.2395442147949205E-5</v>
      </c>
      <c r="G53">
        <f t="shared" si="5"/>
        <v>5.2640629388578544E-22</v>
      </c>
      <c r="H53">
        <f t="shared" si="6"/>
        <v>1.7021278783254448E-2</v>
      </c>
      <c r="I53" s="161">
        <f t="shared" si="7"/>
        <v>1.4548865565554916</v>
      </c>
      <c r="J53" s="2">
        <f t="shared" si="12"/>
        <v>2.9666057830125647E-3</v>
      </c>
      <c r="K53" s="2">
        <f t="shared" si="8"/>
        <v>1.4548865565554916</v>
      </c>
      <c r="L53" s="2">
        <f t="shared" si="9"/>
        <v>2.9666057830125647E-3</v>
      </c>
      <c r="M53" s="2">
        <f t="shared" si="10"/>
        <v>1.471907835338746</v>
      </c>
      <c r="N53" s="2">
        <f t="shared" si="11"/>
        <v>5.1105106014196662E-3</v>
      </c>
    </row>
    <row r="54" spans="1:14" x14ac:dyDescent="0.25">
      <c r="A54" s="6">
        <v>5.1100000000000003</v>
      </c>
      <c r="B54" s="3">
        <f t="shared" si="1"/>
        <v>2.3533232911628965</v>
      </c>
      <c r="C54" s="64">
        <v>1.50725</v>
      </c>
      <c r="D54" s="1">
        <f t="shared" si="2"/>
        <v>1.5709611963156418</v>
      </c>
      <c r="E54" s="157">
        <f t="shared" si="3"/>
        <v>4.0591165359702515E-3</v>
      </c>
      <c r="F54" s="1">
        <f t="shared" si="4"/>
        <v>3.9486490989366847E-5</v>
      </c>
      <c r="G54">
        <f t="shared" si="5"/>
        <v>2.6018619381338808E-20</v>
      </c>
      <c r="H54">
        <f t="shared" si="6"/>
        <v>2.7387115333630654E-2</v>
      </c>
      <c r="I54" s="161">
        <f t="shared" si="7"/>
        <v>1.5710006828066312</v>
      </c>
      <c r="J54" s="2">
        <f t="shared" si="12"/>
        <v>4.0641495583117037E-3</v>
      </c>
      <c r="K54" s="2">
        <f t="shared" si="8"/>
        <v>1.5710006828066312</v>
      </c>
      <c r="L54" s="2">
        <f t="shared" si="9"/>
        <v>4.0641495583117037E-3</v>
      </c>
      <c r="M54" s="2">
        <f t="shared" si="10"/>
        <v>1.5983877981402619</v>
      </c>
      <c r="N54" s="2">
        <f t="shared" si="11"/>
        <v>8.3060982498551258E-3</v>
      </c>
    </row>
    <row r="55" spans="1:14" x14ac:dyDescent="0.25">
      <c r="A55" s="6">
        <v>5.61</v>
      </c>
      <c r="B55" s="3">
        <f t="shared" si="1"/>
        <v>2.4880007708340686</v>
      </c>
      <c r="C55" s="64">
        <v>1.6076999999999999</v>
      </c>
      <c r="D55" s="1">
        <f t="shared" si="2"/>
        <v>1.679954359955496</v>
      </c>
      <c r="E55" s="157">
        <f t="shared" si="3"/>
        <v>5.2206925325784005E-3</v>
      </c>
      <c r="F55" s="1">
        <f t="shared" si="4"/>
        <v>1.187982704991058E-4</v>
      </c>
      <c r="G55">
        <f t="shared" si="5"/>
        <v>1.1027761522920654E-18</v>
      </c>
      <c r="H55">
        <f t="shared" si="6"/>
        <v>4.291195672914689E-2</v>
      </c>
      <c r="I55" s="161">
        <f t="shared" si="7"/>
        <v>1.6800731582259951</v>
      </c>
      <c r="J55" s="2">
        <f t="shared" si="12"/>
        <v>5.2378740316049392E-3</v>
      </c>
      <c r="K55" s="2">
        <f t="shared" si="8"/>
        <v>1.6800731582259951</v>
      </c>
      <c r="L55" s="2">
        <f t="shared" si="9"/>
        <v>5.2378740316049392E-3</v>
      </c>
      <c r="M55" s="2">
        <f t="shared" si="10"/>
        <v>1.7229851149551421</v>
      </c>
      <c r="N55" s="2">
        <f t="shared" si="11"/>
        <v>1.3290657730220342E-2</v>
      </c>
    </row>
    <row r="56" spans="1:14" x14ac:dyDescent="0.25">
      <c r="A56" s="6">
        <v>6.1580000000000004</v>
      </c>
      <c r="B56" s="3">
        <f t="shared" si="1"/>
        <v>2.6224618673827305</v>
      </c>
      <c r="C56" s="64">
        <v>1.7014</v>
      </c>
      <c r="D56" s="1">
        <f t="shared" si="2"/>
        <v>1.7788906347939708</v>
      </c>
      <c r="E56" s="157">
        <f t="shared" si="3"/>
        <v>6.004798480772555E-3</v>
      </c>
      <c r="F56" s="1">
        <f t="shared" si="4"/>
        <v>3.3660476516132932E-4</v>
      </c>
      <c r="G56">
        <f t="shared" si="5"/>
        <v>3.969560235116157E-17</v>
      </c>
      <c r="H56">
        <f t="shared" si="6"/>
        <v>6.5401766812575132E-2</v>
      </c>
      <c r="I56" s="161">
        <f t="shared" si="7"/>
        <v>1.7792272395591322</v>
      </c>
      <c r="J56" s="2">
        <f t="shared" si="12"/>
        <v>6.0570792173945485E-3</v>
      </c>
      <c r="K56" s="2">
        <f t="shared" si="8"/>
        <v>1.7792272395591322</v>
      </c>
      <c r="L56" s="2">
        <f t="shared" si="9"/>
        <v>6.0570792173945485E-3</v>
      </c>
      <c r="M56" s="2">
        <f t="shared" si="10"/>
        <v>1.8446290063717072</v>
      </c>
      <c r="N56" s="2">
        <f t="shared" si="11"/>
        <v>2.0514548266226545E-2</v>
      </c>
    </row>
    <row r="57" spans="1:14" x14ac:dyDescent="0.25">
      <c r="A57" s="6">
        <v>6.76</v>
      </c>
      <c r="B57" s="3">
        <f t="shared" si="1"/>
        <v>2.7570232465074596</v>
      </c>
      <c r="C57" s="64">
        <v>1.7890699999999999</v>
      </c>
      <c r="D57" s="1">
        <f t="shared" si="2"/>
        <v>1.8654549481169489</v>
      </c>
      <c r="E57" s="157">
        <f t="shared" si="3"/>
        <v>5.8346602988289843E-3</v>
      </c>
      <c r="F57" s="1">
        <f t="shared" si="4"/>
        <v>9.0048593744960137E-4</v>
      </c>
      <c r="G57">
        <f t="shared" si="5"/>
        <v>1.224060648672661E-15</v>
      </c>
      <c r="H57">
        <f t="shared" si="6"/>
        <v>9.7056795036271168E-2</v>
      </c>
      <c r="I57" s="161">
        <f t="shared" si="7"/>
        <v>1.8663554340543984</v>
      </c>
      <c r="J57" s="2">
        <f t="shared" si="12"/>
        <v>5.9730383169767746E-3</v>
      </c>
      <c r="K57" s="2">
        <f t="shared" si="8"/>
        <v>1.8663554340543997</v>
      </c>
      <c r="L57" s="2">
        <f t="shared" si="9"/>
        <v>5.9730383169769811E-3</v>
      </c>
      <c r="M57" s="2">
        <f t="shared" si="10"/>
        <v>1.9634122290906708</v>
      </c>
      <c r="N57" s="2">
        <f t="shared" si="11"/>
        <v>3.0395212844303965E-2</v>
      </c>
    </row>
    <row r="58" spans="1:14" x14ac:dyDescent="0.25">
      <c r="A58" s="6">
        <v>7.4210000000000003</v>
      </c>
      <c r="B58" s="3">
        <f t="shared" si="1"/>
        <v>2.891613607039202</v>
      </c>
      <c r="C58" s="64">
        <v>1.8712200000000001</v>
      </c>
      <c r="D58" s="1">
        <f t="shared" si="2"/>
        <v>1.9372559101927975</v>
      </c>
      <c r="E58" s="157">
        <f t="shared" si="3"/>
        <v>4.3607414349912058E-3</v>
      </c>
      <c r="F58" s="1">
        <f t="shared" si="4"/>
        <v>2.2730932208098924E-3</v>
      </c>
      <c r="G58">
        <f t="shared" si="5"/>
        <v>3.2268698489675232E-14</v>
      </c>
      <c r="H58">
        <f t="shared" si="6"/>
        <v>0.14021032473557965</v>
      </c>
      <c r="I58" s="161">
        <f t="shared" si="7"/>
        <v>1.9395290034136075</v>
      </c>
      <c r="J58" s="2">
        <f t="shared" si="12"/>
        <v>4.6661199473602205E-3</v>
      </c>
      <c r="K58" s="2">
        <f t="shared" si="8"/>
        <v>1.9395290034136397</v>
      </c>
      <c r="L58" s="2">
        <f t="shared" si="9"/>
        <v>4.6661199473646189E-3</v>
      </c>
      <c r="M58" s="2">
        <f t="shared" si="10"/>
        <v>2.0797393281492194</v>
      </c>
      <c r="N58" s="2">
        <f t="shared" si="11"/>
        <v>4.3480310211801779E-2</v>
      </c>
    </row>
    <row r="59" spans="1:14" x14ac:dyDescent="0.25">
      <c r="A59" s="6">
        <v>8.1470000000000002</v>
      </c>
      <c r="B59" s="3">
        <f t="shared" si="1"/>
        <v>3.0262689081905516</v>
      </c>
      <c r="C59" s="64">
        <v>1.9473499999999999</v>
      </c>
      <c r="D59" s="1">
        <f t="shared" si="2"/>
        <v>1.9923052653247617</v>
      </c>
      <c r="E59" s="157">
        <f t="shared" si="3"/>
        <v>2.0209758804197301E-3</v>
      </c>
      <c r="F59" s="1">
        <f t="shared" si="4"/>
        <v>5.4152952512423278E-3</v>
      </c>
      <c r="G59">
        <f t="shared" si="5"/>
        <v>7.2775629381084241E-13</v>
      </c>
      <c r="H59">
        <f t="shared" si="6"/>
        <v>0.19718870757091497</v>
      </c>
      <c r="I59" s="161">
        <f t="shared" si="7"/>
        <v>1.997720560576004</v>
      </c>
      <c r="J59" s="2">
        <f t="shared" si="12"/>
        <v>2.5371933727408973E-3</v>
      </c>
      <c r="K59" s="2">
        <f t="shared" si="8"/>
        <v>1.9977205605767319</v>
      </c>
      <c r="L59" s="2">
        <f t="shared" si="9"/>
        <v>2.5371933728142227E-3</v>
      </c>
      <c r="M59" s="2">
        <f t="shared" si="10"/>
        <v>2.1949092681476468</v>
      </c>
      <c r="N59" s="2">
        <f t="shared" si="11"/>
        <v>6.1285591245798507E-2</v>
      </c>
    </row>
    <row r="60" spans="1:14" x14ac:dyDescent="0.25">
      <c r="A60" s="6">
        <v>8.9429999999999996</v>
      </c>
      <c r="B60" s="3">
        <f t="shared" si="1"/>
        <v>3.1607588760502381</v>
      </c>
      <c r="C60" s="64">
        <v>2.0177200000000002</v>
      </c>
      <c r="D60" s="1">
        <f t="shared" si="2"/>
        <v>2.028968764462534</v>
      </c>
      <c r="E60" s="157">
        <f t="shared" si="3"/>
        <v>1.2653470193356483E-4</v>
      </c>
      <c r="F60" s="1">
        <f t="shared" si="4"/>
        <v>1.2158366110806009E-2</v>
      </c>
      <c r="G60">
        <f t="shared" si="5"/>
        <v>1.3969437546416047E-11</v>
      </c>
      <c r="H60">
        <f t="shared" si="6"/>
        <v>0.26983105147844266</v>
      </c>
      <c r="I60" s="161">
        <f t="shared" si="7"/>
        <v>2.0411271305733401</v>
      </c>
      <c r="J60" s="2">
        <f t="shared" si="12"/>
        <v>5.4789376167738222E-4</v>
      </c>
      <c r="K60" s="2">
        <f t="shared" si="8"/>
        <v>2.0411271305873093</v>
      </c>
      <c r="L60" s="2">
        <f t="shared" si="9"/>
        <v>5.4789376233134327E-4</v>
      </c>
      <c r="M60" s="2">
        <f t="shared" si="10"/>
        <v>2.3109581820657521</v>
      </c>
      <c r="N60" s="2">
        <f t="shared" si="11"/>
        <v>8.5988631421227063E-2</v>
      </c>
    </row>
    <row r="61" spans="1:14" x14ac:dyDescent="0.25">
      <c r="A61" s="6">
        <v>9.8179999999999996</v>
      </c>
      <c r="B61" s="3">
        <f t="shared" si="1"/>
        <v>3.2954291667039612</v>
      </c>
      <c r="C61" s="64">
        <v>2.0840900000000002</v>
      </c>
      <c r="D61" s="1">
        <f t="shared" si="2"/>
        <v>2.0462800772086251</v>
      </c>
      <c r="E61" s="157">
        <f t="shared" si="3"/>
        <v>1.4295902614897443E-3</v>
      </c>
      <c r="F61" s="1">
        <f t="shared" si="4"/>
        <v>2.5779530996347104E-2</v>
      </c>
      <c r="G61">
        <f t="shared" si="5"/>
        <v>2.2995710761961728E-10</v>
      </c>
      <c r="H61">
        <f t="shared" si="6"/>
        <v>0.35954873824962275</v>
      </c>
      <c r="I61" s="161">
        <f t="shared" si="7"/>
        <v>2.072059608204972</v>
      </c>
      <c r="J61" s="2">
        <f t="shared" si="12"/>
        <v>1.4473032674188144E-4</v>
      </c>
      <c r="K61" s="2">
        <f t="shared" si="8"/>
        <v>2.072059608434929</v>
      </c>
      <c r="L61" s="2">
        <f t="shared" si="9"/>
        <v>1.4473032120893727E-4</v>
      </c>
      <c r="M61" s="2">
        <f t="shared" si="10"/>
        <v>2.4316083466845519</v>
      </c>
      <c r="N61" s="2">
        <f t="shared" si="11"/>
        <v>0.12076900128236429</v>
      </c>
    </row>
    <row r="62" spans="1:14" x14ac:dyDescent="0.25">
      <c r="A62" s="5">
        <v>10.78</v>
      </c>
      <c r="B62" s="3">
        <f t="shared" si="1"/>
        <v>3.4302852729777809</v>
      </c>
      <c r="C62" s="64">
        <v>2.1501100000000002</v>
      </c>
      <c r="D62" s="1">
        <f t="shared" si="2"/>
        <v>2.0436563667220904</v>
      </c>
      <c r="E62" s="157">
        <f t="shared" si="3"/>
        <v>1.1332376038067705E-2</v>
      </c>
      <c r="F62" s="1">
        <f t="shared" si="4"/>
        <v>5.1609718723916627E-2</v>
      </c>
      <c r="G62">
        <f t="shared" si="5"/>
        <v>3.2445914146844613E-9</v>
      </c>
      <c r="H62">
        <f t="shared" si="6"/>
        <v>0.46648405030712758</v>
      </c>
      <c r="I62" s="161">
        <f t="shared" si="7"/>
        <v>2.0952660854460072</v>
      </c>
      <c r="J62" s="2">
        <f t="shared" si="12"/>
        <v>3.0078549636056804E-3</v>
      </c>
      <c r="K62" s="2">
        <f t="shared" si="8"/>
        <v>2.0952660886905985</v>
      </c>
      <c r="L62" s="2">
        <f t="shared" si="9"/>
        <v>3.0078546077135192E-3</v>
      </c>
      <c r="M62" s="2">
        <f t="shared" si="10"/>
        <v>2.5617501389977262</v>
      </c>
      <c r="N62" s="2">
        <f t="shared" si="11"/>
        <v>0.1694476040340672</v>
      </c>
    </row>
    <row r="63" spans="1:14" x14ac:dyDescent="0.25">
      <c r="A63" s="5">
        <v>11.83</v>
      </c>
      <c r="B63" s="3">
        <f t="shared" si="1"/>
        <v>3.5643781685650642</v>
      </c>
      <c r="C63" s="64">
        <v>2.21773</v>
      </c>
      <c r="D63" s="1">
        <f t="shared" si="2"/>
        <v>2.0213193569238292</v>
      </c>
      <c r="E63" s="157">
        <f t="shared" si="3"/>
        <v>3.8577140713594936E-2</v>
      </c>
      <c r="F63" s="1">
        <f t="shared" si="4"/>
        <v>9.7114935539351077E-2</v>
      </c>
      <c r="G63">
        <f t="shared" si="5"/>
        <v>3.8553961472877404E-8</v>
      </c>
      <c r="H63">
        <f t="shared" si="6"/>
        <v>0.58831325916243526</v>
      </c>
      <c r="I63" s="161">
        <f t="shared" si="7"/>
        <v>2.1184342924631805</v>
      </c>
      <c r="J63" s="2">
        <f t="shared" si="12"/>
        <v>9.8596375352375913E-3</v>
      </c>
      <c r="K63" s="2">
        <f t="shared" si="8"/>
        <v>2.1184343310171418</v>
      </c>
      <c r="L63" s="2">
        <f t="shared" si="9"/>
        <v>9.859629878753334E-3</v>
      </c>
      <c r="M63" s="2">
        <f t="shared" si="10"/>
        <v>2.7067475901795772</v>
      </c>
      <c r="N63" s="2">
        <f t="shared" si="11"/>
        <v>0.23913820350504097</v>
      </c>
    </row>
    <row r="64" spans="1:14" x14ac:dyDescent="0.25">
      <c r="A64" s="5">
        <v>12.99</v>
      </c>
      <c r="B64" s="3">
        <f t="shared" si="1"/>
        <v>3.6993295256731566</v>
      </c>
      <c r="C64" s="64">
        <v>2.2873999999999999</v>
      </c>
      <c r="D64" s="1">
        <f t="shared" si="2"/>
        <v>1.979630062561613</v>
      </c>
      <c r="E64" s="157">
        <f t="shared" si="3"/>
        <v>9.4722334390828569E-2</v>
      </c>
      <c r="F64" s="1">
        <f t="shared" si="4"/>
        <v>0.17307410802724169</v>
      </c>
      <c r="G64">
        <f t="shared" si="5"/>
        <v>3.9746669723254554E-7</v>
      </c>
      <c r="H64">
        <f t="shared" si="6"/>
        <v>0.72323516401096521</v>
      </c>
      <c r="I64" s="161">
        <f t="shared" si="7"/>
        <v>2.1527041705888545</v>
      </c>
      <c r="J64" s="2">
        <f t="shared" si="12"/>
        <v>1.8142966460756364E-2</v>
      </c>
      <c r="K64" s="2">
        <f t="shared" si="8"/>
        <v>2.1527045680555519</v>
      </c>
      <c r="L64" s="2">
        <f t="shared" si="9"/>
        <v>1.8142859386701422E-2</v>
      </c>
      <c r="M64" s="2">
        <f t="shared" si="10"/>
        <v>2.875939732066517</v>
      </c>
      <c r="N64" s="2">
        <f t="shared" si="11"/>
        <v>0.34637901622092776</v>
      </c>
    </row>
    <row r="65" spans="1:14" x14ac:dyDescent="0.25">
      <c r="A65" s="5">
        <v>14.26</v>
      </c>
      <c r="B65" s="3">
        <f t="shared" si="1"/>
        <v>3.8339020766691636</v>
      </c>
      <c r="C65" s="64">
        <v>2.35799</v>
      </c>
      <c r="D65" s="1">
        <f t="shared" si="2"/>
        <v>1.9200631913662973</v>
      </c>
      <c r="E65" s="157">
        <f t="shared" si="3"/>
        <v>0.19177988972009966</v>
      </c>
      <c r="F65" s="1">
        <f t="shared" si="4"/>
        <v>0.29049170049917994</v>
      </c>
      <c r="G65">
        <f t="shared" si="5"/>
        <v>3.4769632710517827E-6</v>
      </c>
      <c r="H65">
        <f t="shared" si="6"/>
        <v>0.86489768431451075</v>
      </c>
      <c r="I65" s="161">
        <f t="shared" si="7"/>
        <v>2.2105548918654772</v>
      </c>
      <c r="J65" s="2">
        <f t="shared" si="12"/>
        <v>2.1737111110638453E-2</v>
      </c>
      <c r="K65" s="2">
        <f t="shared" si="8"/>
        <v>2.2105583688287482</v>
      </c>
      <c r="L65" s="2">
        <f t="shared" si="9"/>
        <v>2.1736085869816024E-2</v>
      </c>
      <c r="M65" s="2">
        <f t="shared" si="10"/>
        <v>3.0754560531432591</v>
      </c>
      <c r="N65" s="2">
        <f t="shared" si="11"/>
        <v>0.51475753741296582</v>
      </c>
    </row>
    <row r="66" spans="1:14" x14ac:dyDescent="0.25">
      <c r="A66" s="3">
        <v>15.65</v>
      </c>
      <c r="B66" s="3">
        <f t="shared" si="1"/>
        <v>3.968090752045256</v>
      </c>
      <c r="C66" s="64">
        <v>2.4299499999999998</v>
      </c>
      <c r="D66" s="1">
        <f t="shared" si="2"/>
        <v>1.844445806797929</v>
      </c>
      <c r="E66" s="157">
        <f t="shared" si="3"/>
        <v>0.34281516025720787</v>
      </c>
      <c r="F66" s="1">
        <f t="shared" si="4"/>
        <v>0.45940693696192619</v>
      </c>
      <c r="G66">
        <f t="shared" si="5"/>
        <v>2.5841219287115137E-5</v>
      </c>
      <c r="H66">
        <f t="shared" si="6"/>
        <v>1.0063775111016728</v>
      </c>
      <c r="I66" s="161">
        <f t="shared" si="7"/>
        <v>2.303852743759855</v>
      </c>
      <c r="J66" s="2">
        <f t="shared" ref="J66:J97" si="13">(C66-I66)^2</f>
        <v>1.5900518031292731E-2</v>
      </c>
      <c r="K66" s="2">
        <f t="shared" si="8"/>
        <v>2.3038785849791421</v>
      </c>
      <c r="L66" s="2">
        <f t="shared" si="9"/>
        <v>1.5894001685361352E-2</v>
      </c>
      <c r="M66" s="2">
        <f t="shared" si="10"/>
        <v>3.3102560960808152</v>
      </c>
      <c r="N66" s="2">
        <f t="shared" si="11"/>
        <v>0.77493882279704573</v>
      </c>
    </row>
    <row r="67" spans="1:14" x14ac:dyDescent="0.25">
      <c r="A67" s="3">
        <v>17.18</v>
      </c>
      <c r="B67" s="3">
        <f t="shared" ref="B67:B118" si="14">LOG(A67,  2)</f>
        <v>4.1026581313637394</v>
      </c>
      <c r="C67" s="64">
        <v>2.5098699999999998</v>
      </c>
      <c r="D67" s="1">
        <f t="shared" ref="D67:D101" si="15">$Q$2*((1/(SQRT(2*PI())*$Q$4))*EXP(-((((LOG(A67,2)-$Q$3)^2)/(2*($Q$4^2))))))</f>
        <v>1.7544308366892705</v>
      </c>
      <c r="E67" s="157">
        <f t="shared" ref="E67:E118" si="16">(C67-D67)^2</f>
        <v>0.57068832946361481</v>
      </c>
      <c r="F67" s="1">
        <f t="shared" ref="F67:F118" si="17">$Q$5*((1/(SQRT(2*PI())*$Q$7))*EXP(-((((LOG(A67,2)-$Q$6)^2)/(2*($Q$7^2))))))</f>
        <v>0.68636681327059357</v>
      </c>
      <c r="G67">
        <f t="shared" ref="G67:G118" si="18">$Q$8*((1/(SQRT(2*PI())*$Q$10))*EXP(-((((LOG(A67,2)-$Q$9)^2)/(2*($Q$10^2))))))</f>
        <v>1.6504174976819888E-4</v>
      </c>
      <c r="H67">
        <f t="shared" ref="H67:H118" si="19">$Q$11*((1/(SQRT(2*PI())*$Q$13))*EXP(-((((LOG(A67,2)-$Q$12)^2)/(2*($Q$13^2))))))</f>
        <v>1.1403618709501044</v>
      </c>
      <c r="I67" s="161">
        <f t="shared" ref="I67:I118" si="20">D67+F67</f>
        <v>2.440797649959864</v>
      </c>
      <c r="J67" s="2">
        <f t="shared" si="13"/>
        <v>4.7709895400670464E-3</v>
      </c>
      <c r="K67" s="2">
        <f t="shared" ref="K67:K118" si="21">D67+F67+G67</f>
        <v>2.4409626917096321</v>
      </c>
      <c r="L67" s="2">
        <f t="shared" ref="L67:L118" si="22">(C67-K67)^2</f>
        <v>4.7482171358237809E-3</v>
      </c>
      <c r="M67" s="2">
        <f t="shared" ref="M67:M118" si="23">D67+F67+G67+H67</f>
        <v>3.5813245626597365</v>
      </c>
      <c r="N67" s="2">
        <f t="shared" ref="N67:N118" si="24">(C67-M67)^2</f>
        <v>1.1480148798443677</v>
      </c>
    </row>
    <row r="68" spans="1:14" x14ac:dyDescent="0.25">
      <c r="A68" s="3">
        <v>18.86</v>
      </c>
      <c r="B68" s="3">
        <f t="shared" si="14"/>
        <v>4.2372577709003716</v>
      </c>
      <c r="C68" s="64">
        <v>2.6080899999999998</v>
      </c>
      <c r="D68" s="1">
        <f t="shared" si="15"/>
        <v>1.6525824316778175</v>
      </c>
      <c r="E68" s="157">
        <f t="shared" si="16"/>
        <v>0.91299471312096991</v>
      </c>
      <c r="F68" s="1">
        <f t="shared" si="17"/>
        <v>0.96748717405871709</v>
      </c>
      <c r="G68">
        <f t="shared" si="18"/>
        <v>9.0085802964548001E-4</v>
      </c>
      <c r="H68">
        <f t="shared" si="19"/>
        <v>1.2578146608551528</v>
      </c>
      <c r="I68" s="161">
        <f t="shared" si="20"/>
        <v>2.6200696057365347</v>
      </c>
      <c r="J68" s="2">
        <f t="shared" si="13"/>
        <v>1.4351095360281971E-4</v>
      </c>
      <c r="K68" s="2">
        <f t="shared" si="21"/>
        <v>2.6209704637661804</v>
      </c>
      <c r="L68" s="2">
        <f t="shared" si="22"/>
        <v>1.6590634683189061E-4</v>
      </c>
      <c r="M68" s="2">
        <f t="shared" si="23"/>
        <v>3.8787851246213334</v>
      </c>
      <c r="N68" s="2">
        <f t="shared" si="24"/>
        <v>1.6146660997364266</v>
      </c>
    </row>
    <row r="69" spans="1:14" x14ac:dyDescent="0.25">
      <c r="A69" s="5">
        <v>20.71</v>
      </c>
      <c r="B69" s="3">
        <f t="shared" si="14"/>
        <v>4.3722556484457877</v>
      </c>
      <c r="C69" s="64">
        <v>2.7402099999999998</v>
      </c>
      <c r="D69" s="1">
        <f t="shared" si="15"/>
        <v>1.5411877996674956</v>
      </c>
      <c r="E69" s="157">
        <f t="shared" si="16"/>
        <v>1.4376542368901997</v>
      </c>
      <c r="F69" s="1">
        <f t="shared" si="17"/>
        <v>1.2875028052919384</v>
      </c>
      <c r="G69">
        <f t="shared" si="18"/>
        <v>4.2186757117301018E-3</v>
      </c>
      <c r="H69">
        <f t="shared" si="19"/>
        <v>1.350648334688356</v>
      </c>
      <c r="I69" s="161">
        <f t="shared" si="20"/>
        <v>2.828690604959434</v>
      </c>
      <c r="J69" s="2">
        <f t="shared" si="13"/>
        <v>7.8288174539874553E-3</v>
      </c>
      <c r="K69" s="2">
        <f t="shared" si="21"/>
        <v>2.832909280671164</v>
      </c>
      <c r="L69" s="2">
        <f t="shared" si="22"/>
        <v>8.5931566369512723E-3</v>
      </c>
      <c r="M69" s="2">
        <f t="shared" si="23"/>
        <v>4.1835576153595202</v>
      </c>
      <c r="N69" s="2">
        <f t="shared" si="24"/>
        <v>2.0832523387640141</v>
      </c>
    </row>
    <row r="70" spans="1:14" x14ac:dyDescent="0.25">
      <c r="A70" s="3">
        <v>22.73</v>
      </c>
      <c r="B70" s="3">
        <f t="shared" si="14"/>
        <v>4.5065257790431232</v>
      </c>
      <c r="C70" s="64">
        <v>2.9190800000000001</v>
      </c>
      <c r="D70" s="1">
        <f t="shared" si="15"/>
        <v>1.4239079038187694</v>
      </c>
      <c r="E70" s="157">
        <f t="shared" si="16"/>
        <v>2.2355395971989753</v>
      </c>
      <c r="F70" s="1">
        <f t="shared" si="17"/>
        <v>1.6140725074162918</v>
      </c>
      <c r="G70">
        <f t="shared" si="18"/>
        <v>1.6742173053118169E-2</v>
      </c>
      <c r="H70">
        <f t="shared" si="19"/>
        <v>1.4112524273942171</v>
      </c>
      <c r="I70" s="161">
        <f t="shared" si="20"/>
        <v>3.0379804112350612</v>
      </c>
      <c r="J70" s="2">
        <f t="shared" si="13"/>
        <v>1.4137307791866649E-2</v>
      </c>
      <c r="K70" s="2">
        <f t="shared" si="21"/>
        <v>3.0547225842881796</v>
      </c>
      <c r="L70" s="2">
        <f t="shared" si="22"/>
        <v>1.8398910672375864E-2</v>
      </c>
      <c r="M70" s="2">
        <f t="shared" si="23"/>
        <v>4.4659750116823966</v>
      </c>
      <c r="N70" s="2">
        <f t="shared" si="24"/>
        <v>2.3928841771678817</v>
      </c>
    </row>
    <row r="71" spans="1:14" x14ac:dyDescent="0.25">
      <c r="A71" s="3">
        <v>24.95</v>
      </c>
      <c r="B71" s="3">
        <f t="shared" si="14"/>
        <v>4.6409679104498984</v>
      </c>
      <c r="C71" s="64">
        <v>3.1524000000000001</v>
      </c>
      <c r="D71" s="1">
        <f t="shared" si="15"/>
        <v>1.3026809252384126</v>
      </c>
      <c r="E71" s="157">
        <f t="shared" si="16"/>
        <v>3.4214606555368632</v>
      </c>
      <c r="F71" s="1">
        <f t="shared" si="17"/>
        <v>1.9097846772164428</v>
      </c>
      <c r="G71">
        <f t="shared" si="18"/>
        <v>5.6885100682914642E-2</v>
      </c>
      <c r="H71">
        <f t="shared" si="19"/>
        <v>1.4355033727350268</v>
      </c>
      <c r="I71" s="161">
        <f t="shared" si="20"/>
        <v>3.2124656024548557</v>
      </c>
      <c r="J71" s="2">
        <f t="shared" si="13"/>
        <v>3.6078765982647545E-3</v>
      </c>
      <c r="K71" s="2">
        <f t="shared" si="21"/>
        <v>3.2693507031377704</v>
      </c>
      <c r="L71" s="2">
        <f t="shared" si="22"/>
        <v>1.3677466964418886E-2</v>
      </c>
      <c r="M71" s="2">
        <f t="shared" si="23"/>
        <v>4.704854075872797</v>
      </c>
      <c r="N71" s="2">
        <f t="shared" si="24"/>
        <v>2.4101136576940601</v>
      </c>
    </row>
    <row r="72" spans="1:14" x14ac:dyDescent="0.25">
      <c r="A72" s="3">
        <v>27.39</v>
      </c>
      <c r="B72" s="3">
        <f t="shared" si="14"/>
        <v>4.7755773609306535</v>
      </c>
      <c r="C72" s="64">
        <v>3.4452799999999999</v>
      </c>
      <c r="D72" s="1">
        <f t="shared" si="15"/>
        <v>1.1800743159196077</v>
      </c>
      <c r="E72" s="157">
        <f t="shared" si="16"/>
        <v>5.1311567911901177</v>
      </c>
      <c r="F72" s="1">
        <f t="shared" si="17"/>
        <v>2.132230347397392</v>
      </c>
      <c r="G72">
        <f t="shared" si="18"/>
        <v>0.16537099517826809</v>
      </c>
      <c r="H72">
        <f t="shared" si="19"/>
        <v>1.4213345111842313</v>
      </c>
      <c r="I72" s="161">
        <f t="shared" si="20"/>
        <v>3.3123046633169997</v>
      </c>
      <c r="J72" s="2">
        <f t="shared" si="13"/>
        <v>1.7682440165957262E-2</v>
      </c>
      <c r="K72" s="2">
        <f t="shared" si="21"/>
        <v>3.4776756584952677</v>
      </c>
      <c r="L72" s="2">
        <f t="shared" si="22"/>
        <v>1.0494786893420181E-3</v>
      </c>
      <c r="M72" s="2">
        <f t="shared" si="23"/>
        <v>4.8990101696794994</v>
      </c>
      <c r="N72" s="2">
        <f t="shared" si="24"/>
        <v>2.1133314062363864</v>
      </c>
    </row>
    <row r="73" spans="1:14" x14ac:dyDescent="0.25">
      <c r="A73" s="3">
        <v>30.07</v>
      </c>
      <c r="B73" s="3">
        <f t="shared" si="14"/>
        <v>4.9102529627992784</v>
      </c>
      <c r="C73" s="64">
        <v>3.79359</v>
      </c>
      <c r="D73" s="1">
        <f t="shared" si="15"/>
        <v>1.0585638295245436</v>
      </c>
      <c r="E73" s="157">
        <f t="shared" si="16"/>
        <v>7.4803681531856405</v>
      </c>
      <c r="F73" s="1">
        <f t="shared" si="17"/>
        <v>2.2457963541841504</v>
      </c>
      <c r="G73">
        <f t="shared" si="18"/>
        <v>0.41083548513601498</v>
      </c>
      <c r="H73">
        <f t="shared" si="19"/>
        <v>1.3697890738427296</v>
      </c>
      <c r="I73" s="161">
        <f t="shared" si="20"/>
        <v>3.304360183708694</v>
      </c>
      <c r="J73" s="2">
        <f t="shared" si="13"/>
        <v>0.23934581314842504</v>
      </c>
      <c r="K73" s="2">
        <f t="shared" si="21"/>
        <v>3.715195668844709</v>
      </c>
      <c r="L73" s="2">
        <f t="shared" si="22"/>
        <v>6.1456711572854357E-3</v>
      </c>
      <c r="M73" s="2">
        <f t="shared" si="23"/>
        <v>5.0849847426874391</v>
      </c>
      <c r="N73" s="2">
        <f t="shared" si="24"/>
        <v>1.6677003814407569</v>
      </c>
    </row>
    <row r="74" spans="1:14" x14ac:dyDescent="0.25">
      <c r="A74" s="3">
        <v>33.01</v>
      </c>
      <c r="B74" s="3">
        <f t="shared" si="14"/>
        <v>5.0448312334478116</v>
      </c>
      <c r="C74" s="64">
        <v>4.1893000000000002</v>
      </c>
      <c r="D74" s="1">
        <f t="shared" si="15"/>
        <v>0.94041574199993361</v>
      </c>
      <c r="E74" s="157">
        <f t="shared" si="16"/>
        <v>10.555248921880644</v>
      </c>
      <c r="F74" s="1">
        <f t="shared" si="17"/>
        <v>2.231385476430118</v>
      </c>
      <c r="G74">
        <f t="shared" si="18"/>
        <v>0.87130135484788784</v>
      </c>
      <c r="H74">
        <f t="shared" si="19"/>
        <v>1.2849906118335317</v>
      </c>
      <c r="I74" s="161">
        <f t="shared" si="20"/>
        <v>3.1718012184300517</v>
      </c>
      <c r="J74" s="2">
        <f t="shared" si="13"/>
        <v>1.0353037704963299</v>
      </c>
      <c r="K74" s="2">
        <f t="shared" si="21"/>
        <v>4.04310257327794</v>
      </c>
      <c r="L74" s="2">
        <f t="shared" si="22"/>
        <v>2.1373687580152182E-2</v>
      </c>
      <c r="M74" s="2">
        <f t="shared" si="23"/>
        <v>5.3280931851114719</v>
      </c>
      <c r="N74" s="2">
        <f t="shared" si="24"/>
        <v>1.2968499184563305</v>
      </c>
    </row>
    <row r="75" spans="1:14" x14ac:dyDescent="0.25">
      <c r="A75" s="3">
        <v>36.24</v>
      </c>
      <c r="B75" s="3">
        <f t="shared" si="14"/>
        <v>5.1795110502715112</v>
      </c>
      <c r="C75" s="64">
        <v>4.6103300000000003</v>
      </c>
      <c r="D75" s="1">
        <f t="shared" si="15"/>
        <v>0.82725942764330207</v>
      </c>
      <c r="E75" s="157">
        <f t="shared" si="16"/>
        <v>14.311622955431238</v>
      </c>
      <c r="F75" s="1">
        <f t="shared" si="17"/>
        <v>2.0914211129156901</v>
      </c>
      <c r="G75">
        <f t="shared" si="18"/>
        <v>1.5792102201997689</v>
      </c>
      <c r="H75">
        <f t="shared" si="19"/>
        <v>1.1732579545705391</v>
      </c>
      <c r="I75" s="161">
        <f t="shared" si="20"/>
        <v>2.9186805405589924</v>
      </c>
      <c r="J75" s="2">
        <f t="shared" si="13"/>
        <v>2.8616778936270539</v>
      </c>
      <c r="K75" s="2">
        <f t="shared" si="21"/>
        <v>4.4978907607587608</v>
      </c>
      <c r="L75" s="2">
        <f t="shared" si="22"/>
        <v>1.2642582521148679E-2</v>
      </c>
      <c r="M75" s="2">
        <f t="shared" si="23"/>
        <v>5.6711487153293003</v>
      </c>
      <c r="N75" s="2">
        <f t="shared" si="24"/>
        <v>1.1253363467929065</v>
      </c>
    </row>
    <row r="76" spans="1:14" x14ac:dyDescent="0.25">
      <c r="A76" s="3">
        <v>39.78</v>
      </c>
      <c r="B76" s="3">
        <f t="shared" si="14"/>
        <v>5.3139713710590195</v>
      </c>
      <c r="C76" s="64">
        <v>4.9996900000000002</v>
      </c>
      <c r="D76" s="1">
        <f t="shared" si="15"/>
        <v>0.72081007433876076</v>
      </c>
      <c r="E76" s="157">
        <f t="shared" si="16"/>
        <v>18.30881341822673</v>
      </c>
      <c r="F76" s="1">
        <f t="shared" si="17"/>
        <v>1.8495725038918647</v>
      </c>
      <c r="G76">
        <f t="shared" si="18"/>
        <v>2.4431879668941132</v>
      </c>
      <c r="H76">
        <f t="shared" si="19"/>
        <v>1.0429030418320151</v>
      </c>
      <c r="I76" s="161">
        <f t="shared" si="20"/>
        <v>2.5703825782306255</v>
      </c>
      <c r="J76" s="2">
        <f t="shared" si="13"/>
        <v>5.9015345494637659</v>
      </c>
      <c r="K76" s="2">
        <f t="shared" si="21"/>
        <v>5.0135705451247388</v>
      </c>
      <c r="L76" s="2">
        <f t="shared" si="22"/>
        <v>1.9266953295990382E-4</v>
      </c>
      <c r="M76" s="2">
        <f t="shared" si="23"/>
        <v>6.0564735869567539</v>
      </c>
      <c r="N76" s="2">
        <f t="shared" si="24"/>
        <v>1.1167915496611827</v>
      </c>
    </row>
    <row r="77" spans="1:14" x14ac:dyDescent="0.25">
      <c r="A77" s="3">
        <v>43.67</v>
      </c>
      <c r="B77" s="3">
        <f t="shared" si="14"/>
        <v>5.4485706260055302</v>
      </c>
      <c r="C77" s="64">
        <v>5.2633099999999997</v>
      </c>
      <c r="D77" s="1">
        <f t="shared" si="15"/>
        <v>0.62187285378541157</v>
      </c>
      <c r="E77" s="157">
        <f t="shared" si="16"/>
        <v>21.542938782260617</v>
      </c>
      <c r="F77" s="1">
        <f t="shared" si="17"/>
        <v>1.5429245000281804</v>
      </c>
      <c r="G77">
        <f t="shared" si="18"/>
        <v>3.2306194665645473</v>
      </c>
      <c r="H77">
        <f t="shared" si="19"/>
        <v>0.9022469207450442</v>
      </c>
      <c r="I77" s="161">
        <f t="shared" si="20"/>
        <v>2.1647973538135918</v>
      </c>
      <c r="J77" s="2">
        <f t="shared" si="13"/>
        <v>9.6007806185770956</v>
      </c>
      <c r="K77" s="2">
        <f t="shared" si="21"/>
        <v>5.3954168203781396</v>
      </c>
      <c r="L77" s="2">
        <f t="shared" si="22"/>
        <v>1.7452211990422125E-2</v>
      </c>
      <c r="M77" s="2">
        <f t="shared" si="23"/>
        <v>6.2976637411231842</v>
      </c>
      <c r="N77" s="2">
        <f t="shared" si="24"/>
        <v>1.0698876617755277</v>
      </c>
    </row>
    <row r="78" spans="1:14" x14ac:dyDescent="0.25">
      <c r="A78" s="3">
        <v>47.94</v>
      </c>
      <c r="B78" s="3">
        <f t="shared" si="14"/>
        <v>5.5831580038744084</v>
      </c>
      <c r="C78" s="64">
        <v>5.2664999999999997</v>
      </c>
      <c r="D78" s="1">
        <f t="shared" si="15"/>
        <v>0.53131224101151875</v>
      </c>
      <c r="E78" s="157">
        <f t="shared" si="16"/>
        <v>22.42200311287435</v>
      </c>
      <c r="F78" s="1">
        <f t="shared" si="17"/>
        <v>1.2142659324781917</v>
      </c>
      <c r="G78">
        <f t="shared" si="18"/>
        <v>3.6491686595765529</v>
      </c>
      <c r="H78">
        <f t="shared" si="19"/>
        <v>0.75978695990974665</v>
      </c>
      <c r="I78" s="161">
        <f t="shared" si="20"/>
        <v>1.7455781734897104</v>
      </c>
      <c r="J78" s="2">
        <f t="shared" si="13"/>
        <v>12.396890508396551</v>
      </c>
      <c r="K78" s="2">
        <f t="shared" si="21"/>
        <v>5.3947468330662636</v>
      </c>
      <c r="L78" s="2">
        <f t="shared" si="22"/>
        <v>1.6447250191526142E-2</v>
      </c>
      <c r="M78" s="2">
        <f t="shared" si="23"/>
        <v>6.15453379297601</v>
      </c>
      <c r="N78" s="2">
        <f t="shared" si="24"/>
        <v>0.78860401746735942</v>
      </c>
    </row>
    <row r="79" spans="1:14" x14ac:dyDescent="0.25">
      <c r="A79" s="3">
        <v>52.62</v>
      </c>
      <c r="B79" s="3">
        <f t="shared" si="14"/>
        <v>5.7175393433911648</v>
      </c>
      <c r="C79" s="64">
        <v>4.8805800000000001</v>
      </c>
      <c r="D79" s="1">
        <f t="shared" si="15"/>
        <v>0.44964980623178014</v>
      </c>
      <c r="E79" s="157">
        <f t="shared" si="16"/>
        <v>19.633142382046877</v>
      </c>
      <c r="F79" s="1">
        <f t="shared" si="17"/>
        <v>0.90196624884946586</v>
      </c>
      <c r="G79">
        <f t="shared" si="18"/>
        <v>3.5218512261807571</v>
      </c>
      <c r="H79">
        <f t="shared" si="19"/>
        <v>0.62298750405726211</v>
      </c>
      <c r="I79" s="161">
        <f t="shared" si="20"/>
        <v>1.3516160550812459</v>
      </c>
      <c r="J79" s="2">
        <f t="shared" si="13"/>
        <v>12.453586524536535</v>
      </c>
      <c r="K79" s="2">
        <f t="shared" si="21"/>
        <v>4.8734672812620028</v>
      </c>
      <c r="L79" s="2">
        <f t="shared" si="22"/>
        <v>5.0590767845858587E-5</v>
      </c>
      <c r="M79" s="2">
        <f t="shared" si="23"/>
        <v>5.4964547853192647</v>
      </c>
      <c r="N79" s="2">
        <f t="shared" si="24"/>
        <v>0.37930175119205017</v>
      </c>
    </row>
    <row r="80" spans="1:14" x14ac:dyDescent="0.25">
      <c r="A80" s="3">
        <v>57.77</v>
      </c>
      <c r="B80" s="3">
        <f t="shared" si="14"/>
        <v>5.8522485895654013</v>
      </c>
      <c r="C80" s="64">
        <v>4.0739799999999997</v>
      </c>
      <c r="D80" s="1">
        <f t="shared" si="15"/>
        <v>0.37668787387824676</v>
      </c>
      <c r="E80" s="157">
        <f t="shared" si="16"/>
        <v>13.669969065881913</v>
      </c>
      <c r="F80" s="1">
        <f t="shared" si="17"/>
        <v>0.63157754369852315</v>
      </c>
      <c r="G80">
        <f t="shared" si="18"/>
        <v>2.9031056435327827</v>
      </c>
      <c r="H80">
        <f t="shared" si="19"/>
        <v>0.49696916158016047</v>
      </c>
      <c r="I80" s="161">
        <f t="shared" si="20"/>
        <v>1.0082654175767698</v>
      </c>
      <c r="J80" s="2">
        <f t="shared" si="13"/>
        <v>9.3986059008824387</v>
      </c>
      <c r="K80" s="2">
        <f t="shared" si="21"/>
        <v>3.9113710611095525</v>
      </c>
      <c r="L80" s="2">
        <f t="shared" si="22"/>
        <v>2.6441667007077209E-2</v>
      </c>
      <c r="M80" s="2">
        <f t="shared" si="23"/>
        <v>4.4083402226897128</v>
      </c>
      <c r="N80" s="2">
        <f t="shared" si="24"/>
        <v>0.11179675851711454</v>
      </c>
    </row>
    <row r="81" spans="1:14" x14ac:dyDescent="0.25">
      <c r="A81" s="3">
        <v>63.41</v>
      </c>
      <c r="B81" s="3">
        <f t="shared" si="14"/>
        <v>5.9866384717308527</v>
      </c>
      <c r="C81" s="64">
        <v>2.9585900000000001</v>
      </c>
      <c r="D81" s="1">
        <f t="shared" si="15"/>
        <v>0.31263714208548649</v>
      </c>
      <c r="E81" s="157">
        <f t="shared" si="16"/>
        <v>7.0010665263059817</v>
      </c>
      <c r="F81" s="1">
        <f t="shared" si="17"/>
        <v>0.41760357962973077</v>
      </c>
      <c r="G81">
        <f t="shared" si="18"/>
        <v>2.0458138004654485</v>
      </c>
      <c r="H81">
        <f t="shared" si="19"/>
        <v>0.38611141336441818</v>
      </c>
      <c r="I81" s="161">
        <f t="shared" si="20"/>
        <v>0.73024072171521726</v>
      </c>
      <c r="J81" s="2">
        <f t="shared" si="13"/>
        <v>4.9655405060323128</v>
      </c>
      <c r="K81" s="2">
        <f t="shared" si="21"/>
        <v>2.7760545221806656</v>
      </c>
      <c r="L81" s="2">
        <f t="shared" si="22"/>
        <v>3.3319200662732737E-2</v>
      </c>
      <c r="M81" s="2">
        <f t="shared" si="23"/>
        <v>3.162165935545084</v>
      </c>
      <c r="N81" s="2">
        <f t="shared" si="24"/>
        <v>4.1443161533056161E-2</v>
      </c>
    </row>
    <row r="82" spans="1:14" x14ac:dyDescent="0.25">
      <c r="A82" s="3">
        <v>69.61</v>
      </c>
      <c r="B82" s="3">
        <f t="shared" si="14"/>
        <v>6.1212226698419601</v>
      </c>
      <c r="C82" s="64">
        <v>1.7473099999999999</v>
      </c>
      <c r="D82" s="1">
        <f t="shared" si="15"/>
        <v>0.25689031449465988</v>
      </c>
      <c r="E82" s="157">
        <f t="shared" si="16"/>
        <v>2.2213508389418366</v>
      </c>
      <c r="F82" s="1">
        <f t="shared" si="17"/>
        <v>0.26034630999610037</v>
      </c>
      <c r="G82">
        <f t="shared" si="18"/>
        <v>1.2311051215823672</v>
      </c>
      <c r="H82">
        <f t="shared" si="19"/>
        <v>0.29189474367817886</v>
      </c>
      <c r="I82" s="161">
        <f t="shared" si="20"/>
        <v>0.51723662449076024</v>
      </c>
      <c r="J82" s="2">
        <f t="shared" si="13"/>
        <v>1.513080509136695</v>
      </c>
      <c r="K82" s="2">
        <f t="shared" si="21"/>
        <v>1.7483417460731274</v>
      </c>
      <c r="L82" s="2">
        <f t="shared" si="22"/>
        <v>1.0644999594140251E-6</v>
      </c>
      <c r="M82" s="2">
        <f t="shared" si="23"/>
        <v>2.0402364897513063</v>
      </c>
      <c r="N82" s="2">
        <f t="shared" si="24"/>
        <v>8.580592839802223E-2</v>
      </c>
    </row>
    <row r="83" spans="1:14" x14ac:dyDescent="0.25">
      <c r="A83" s="3">
        <v>76.42</v>
      </c>
      <c r="B83" s="3">
        <f t="shared" si="14"/>
        <v>6.2558783525827861</v>
      </c>
      <c r="C83" s="64">
        <v>0.76843300000000003</v>
      </c>
      <c r="D83" s="1">
        <f t="shared" si="15"/>
        <v>0.20901064667815661</v>
      </c>
      <c r="E83" s="157">
        <f t="shared" si="16"/>
        <v>0.31295336939614943</v>
      </c>
      <c r="F83" s="1">
        <f t="shared" si="17"/>
        <v>0.15307372826981774</v>
      </c>
      <c r="G83">
        <f t="shared" si="18"/>
        <v>0.63262837794310522</v>
      </c>
      <c r="H83">
        <f t="shared" si="19"/>
        <v>0.21475659743719086</v>
      </c>
      <c r="I83" s="161">
        <f t="shared" si="20"/>
        <v>0.36208437494797435</v>
      </c>
      <c r="J83" s="2">
        <f t="shared" si="13"/>
        <v>0.16511920508167174</v>
      </c>
      <c r="K83" s="2">
        <f t="shared" si="21"/>
        <v>0.99471275289107952</v>
      </c>
      <c r="L83" s="2">
        <f t="shared" si="22"/>
        <v>5.1202526568447995E-2</v>
      </c>
      <c r="M83" s="2">
        <f t="shared" si="23"/>
        <v>1.2094693503282703</v>
      </c>
      <c r="N83" s="2">
        <f t="shared" si="24"/>
        <v>0.19451306231088075</v>
      </c>
    </row>
    <row r="84" spans="1:14" x14ac:dyDescent="0.25">
      <c r="A84" s="3">
        <v>83.89</v>
      </c>
      <c r="B84" s="3">
        <f t="shared" si="14"/>
        <v>6.3904269411871715</v>
      </c>
      <c r="C84" s="64">
        <v>0.21720500000000001</v>
      </c>
      <c r="D84" s="1">
        <f t="shared" si="15"/>
        <v>0.16843141172614118</v>
      </c>
      <c r="E84" s="157">
        <f t="shared" si="16"/>
        <v>2.3788629131078999E-3</v>
      </c>
      <c r="F84" s="1">
        <f t="shared" si="17"/>
        <v>8.4943048810529179E-2</v>
      </c>
      <c r="G84">
        <f t="shared" si="18"/>
        <v>0.27786721670462744</v>
      </c>
      <c r="H84">
        <f t="shared" si="19"/>
        <v>0.15383486162372514</v>
      </c>
      <c r="I84" s="161">
        <f t="shared" si="20"/>
        <v>0.25337446053667034</v>
      </c>
      <c r="J84" s="2">
        <f t="shared" si="13"/>
        <v>1.3082298755137526E-3</v>
      </c>
      <c r="K84" s="2">
        <f t="shared" si="21"/>
        <v>0.53124167724129778</v>
      </c>
      <c r="L84" s="2">
        <f t="shared" si="22"/>
        <v>9.8619034652755053E-2</v>
      </c>
      <c r="M84" s="2">
        <f t="shared" si="23"/>
        <v>0.68507653886502295</v>
      </c>
      <c r="N84" s="2">
        <f t="shared" si="24"/>
        <v>0.21890377687992471</v>
      </c>
    </row>
    <row r="85" spans="1:14" x14ac:dyDescent="0.25">
      <c r="A85" s="3">
        <v>92.09</v>
      </c>
      <c r="B85" s="3">
        <f t="shared" si="14"/>
        <v>6.5249725982866265</v>
      </c>
      <c r="C85" s="64">
        <v>3.2522200000000001E-2</v>
      </c>
      <c r="D85" s="1">
        <f t="shared" si="15"/>
        <v>0.13441396499710268</v>
      </c>
      <c r="E85" s="157">
        <f t="shared" si="16"/>
        <v>1.0381931774224798E-2</v>
      </c>
      <c r="F85" s="1">
        <f t="shared" si="17"/>
        <v>4.4469885017974942E-2</v>
      </c>
      <c r="G85">
        <f t="shared" si="18"/>
        <v>0.10427214979558375</v>
      </c>
      <c r="H85">
        <f t="shared" si="19"/>
        <v>0.10726381225918685</v>
      </c>
      <c r="I85" s="161">
        <f t="shared" si="20"/>
        <v>0.17888385001507762</v>
      </c>
      <c r="J85" s="2">
        <f t="shared" si="13"/>
        <v>2.1421732595136068E-2</v>
      </c>
      <c r="K85" s="2">
        <f t="shared" si="21"/>
        <v>0.28315599981066136</v>
      </c>
      <c r="L85" s="2">
        <f t="shared" si="22"/>
        <v>6.2817301607530671E-2</v>
      </c>
      <c r="M85" s="2">
        <f t="shared" si="23"/>
        <v>0.39041981206984822</v>
      </c>
      <c r="N85" s="2">
        <f t="shared" si="24"/>
        <v>0.12809070072529957</v>
      </c>
    </row>
    <row r="86" spans="1:14" x14ac:dyDescent="0.25">
      <c r="A86" s="3">
        <v>101.1</v>
      </c>
      <c r="B86" s="3">
        <f t="shared" si="14"/>
        <v>6.6596391870156522</v>
      </c>
      <c r="C86" s="64">
        <v>1.93845E-3</v>
      </c>
      <c r="D86" s="1">
        <f t="shared" si="15"/>
        <v>0.10620294174198158</v>
      </c>
      <c r="E86" s="157">
        <f t="shared" si="16"/>
        <v>1.0871084238213747E-2</v>
      </c>
      <c r="F86" s="1">
        <f t="shared" si="17"/>
        <v>2.1949423242566549E-2</v>
      </c>
      <c r="G86">
        <f t="shared" si="18"/>
        <v>3.3393341816220251E-2</v>
      </c>
      <c r="H86">
        <f t="shared" si="19"/>
        <v>7.2775018081254278E-2</v>
      </c>
      <c r="I86" s="161">
        <f t="shared" si="20"/>
        <v>0.12815236498454813</v>
      </c>
      <c r="J86" s="2">
        <f t="shared" si="13"/>
        <v>1.5929952335726739E-2</v>
      </c>
      <c r="K86" s="2">
        <f t="shared" si="21"/>
        <v>0.16154570680076838</v>
      </c>
      <c r="L86" s="2">
        <f t="shared" si="22"/>
        <v>2.5474476423466421E-2</v>
      </c>
      <c r="M86" s="2">
        <f t="shared" si="23"/>
        <v>0.23432072488202266</v>
      </c>
      <c r="N86" s="2">
        <f t="shared" si="24"/>
        <v>5.4001521679343932E-2</v>
      </c>
    </row>
    <row r="87" spans="1:14" x14ac:dyDescent="0.25">
      <c r="A87" s="3">
        <v>111</v>
      </c>
      <c r="B87" s="3">
        <f t="shared" si="14"/>
        <v>6.7944158663501062</v>
      </c>
      <c r="C87" s="64">
        <v>0</v>
      </c>
      <c r="D87" s="1">
        <f t="shared" si="15"/>
        <v>8.3080073017070571E-2</v>
      </c>
      <c r="E87" s="157">
        <f t="shared" si="16"/>
        <v>6.9022985325217778E-3</v>
      </c>
      <c r="F87" s="1">
        <f t="shared" si="17"/>
        <v>1.0213124948842458E-2</v>
      </c>
      <c r="G87">
        <f t="shared" si="18"/>
        <v>9.1237957438397247E-3</v>
      </c>
      <c r="H87">
        <f t="shared" si="19"/>
        <v>4.8042479727649988E-2</v>
      </c>
      <c r="I87" s="161">
        <f t="shared" si="20"/>
        <v>9.3293197965913024E-2</v>
      </c>
      <c r="J87" s="2">
        <f t="shared" si="13"/>
        <v>8.7036207867070385E-3</v>
      </c>
      <c r="K87" s="2">
        <f t="shared" si="21"/>
        <v>0.10241699370975275</v>
      </c>
      <c r="L87" s="2">
        <f t="shared" si="22"/>
        <v>1.0489240600543535E-2</v>
      </c>
      <c r="M87" s="2">
        <f t="shared" si="23"/>
        <v>0.15045947343740274</v>
      </c>
      <c r="N87" s="2">
        <f t="shared" si="24"/>
        <v>2.2638053147060501E-2</v>
      </c>
    </row>
    <row r="88" spans="1:14" x14ac:dyDescent="0.25">
      <c r="A88" s="3">
        <v>121.8</v>
      </c>
      <c r="B88" s="3">
        <f t="shared" si="14"/>
        <v>6.9283703230189699</v>
      </c>
      <c r="C88" s="64">
        <v>0</v>
      </c>
      <c r="D88" s="1">
        <f t="shared" si="15"/>
        <v>6.446094139930035E-2</v>
      </c>
      <c r="E88" s="157">
        <f t="shared" si="16"/>
        <v>4.1552129660840341E-3</v>
      </c>
      <c r="F88" s="1">
        <f t="shared" si="17"/>
        <v>4.5057981457228766E-3</v>
      </c>
      <c r="G88">
        <f t="shared" si="18"/>
        <v>2.1486004931884225E-3</v>
      </c>
      <c r="H88">
        <f t="shared" si="19"/>
        <v>3.095444760139195E-2</v>
      </c>
      <c r="I88" s="161">
        <f t="shared" si="20"/>
        <v>6.896673954502322E-2</v>
      </c>
      <c r="J88" s="2">
        <f t="shared" si="13"/>
        <v>4.7564111634710695E-3</v>
      </c>
      <c r="K88" s="2">
        <f t="shared" si="21"/>
        <v>7.1115340038211641E-2</v>
      </c>
      <c r="L88" s="2">
        <f t="shared" si="22"/>
        <v>5.0573915887504681E-3</v>
      </c>
      <c r="M88" s="2">
        <f t="shared" si="23"/>
        <v>0.10206978763960359</v>
      </c>
      <c r="N88" s="2">
        <f t="shared" si="24"/>
        <v>1.0418241548793773E-2</v>
      </c>
    </row>
    <row r="89" spans="1:14" x14ac:dyDescent="0.25">
      <c r="A89" s="3">
        <v>133.69999999999999</v>
      </c>
      <c r="B89" s="3">
        <f t="shared" si="14"/>
        <v>7.0628556552059907</v>
      </c>
      <c r="C89" s="64">
        <v>0</v>
      </c>
      <c r="D89" s="1">
        <f t="shared" si="15"/>
        <v>4.9480771144003281E-2</v>
      </c>
      <c r="E89" s="157">
        <f t="shared" si="16"/>
        <v>2.4483467130052279E-3</v>
      </c>
      <c r="F89" s="1">
        <f t="shared" si="17"/>
        <v>1.8696254849114881E-3</v>
      </c>
      <c r="G89">
        <f t="shared" si="18"/>
        <v>4.3000976405417168E-4</v>
      </c>
      <c r="H89">
        <f t="shared" si="19"/>
        <v>1.9381389779907068E-2</v>
      </c>
      <c r="I89" s="161">
        <f t="shared" si="20"/>
        <v>5.1350396628914767E-2</v>
      </c>
      <c r="J89" s="2">
        <f t="shared" si="13"/>
        <v>2.6368632339468612E-3</v>
      </c>
      <c r="K89" s="2">
        <f t="shared" si="21"/>
        <v>5.1780406392968936E-2</v>
      </c>
      <c r="L89" s="2">
        <f t="shared" si="22"/>
        <v>2.6812104862210182E-3</v>
      </c>
      <c r="M89" s="2">
        <f t="shared" si="23"/>
        <v>7.1161796172876005E-2</v>
      </c>
      <c r="N89" s="2">
        <f t="shared" si="24"/>
        <v>5.06400123454995E-3</v>
      </c>
    </row>
    <row r="90" spans="1:14" x14ac:dyDescent="0.25">
      <c r="A90" s="3">
        <v>146.80000000000001</v>
      </c>
      <c r="B90" s="3">
        <f t="shared" si="14"/>
        <v>7.1977081579558515</v>
      </c>
      <c r="C90" s="117">
        <v>0</v>
      </c>
      <c r="D90" s="1">
        <f t="shared" si="15"/>
        <v>3.7584931582642381E-2</v>
      </c>
      <c r="E90" s="157">
        <f t="shared" si="16"/>
        <v>1.4126270820719088E-3</v>
      </c>
      <c r="F90" s="1">
        <f t="shared" si="17"/>
        <v>7.2999400754151578E-4</v>
      </c>
      <c r="G90">
        <f t="shared" si="18"/>
        <v>7.3166130844487558E-5</v>
      </c>
      <c r="H90">
        <f t="shared" si="19"/>
        <v>1.1796178541636089E-2</v>
      </c>
      <c r="I90" s="161">
        <f t="shared" si="20"/>
        <v>3.8314925590183894E-2</v>
      </c>
      <c r="J90" s="2">
        <f t="shared" si="13"/>
        <v>1.4680335229813287E-3</v>
      </c>
      <c r="K90" s="2">
        <f t="shared" si="21"/>
        <v>3.8388091721028382E-2</v>
      </c>
      <c r="L90" s="2">
        <f t="shared" si="22"/>
        <v>1.4736455859820877E-3</v>
      </c>
      <c r="M90" s="2">
        <f t="shared" si="23"/>
        <v>5.018427026266447E-2</v>
      </c>
      <c r="N90" s="2">
        <f t="shared" si="24"/>
        <v>2.5184609817961493E-3</v>
      </c>
    </row>
    <row r="91" spans="1:14" x14ac:dyDescent="0.25">
      <c r="A91" s="3">
        <v>161.19999999999999</v>
      </c>
      <c r="B91" s="3">
        <f t="shared" si="14"/>
        <v>7.3327079336406049</v>
      </c>
      <c r="C91" s="64">
        <v>0</v>
      </c>
      <c r="D91" s="1">
        <f t="shared" si="15"/>
        <v>2.8261744197170497E-2</v>
      </c>
      <c r="E91" s="157">
        <f t="shared" si="16"/>
        <v>7.9872618506630021E-4</v>
      </c>
      <c r="F91" s="1">
        <f t="shared" si="17"/>
        <v>2.6852606769880484E-4</v>
      </c>
      <c r="G91">
        <f t="shared" si="18"/>
        <v>1.0605043621477723E-5</v>
      </c>
      <c r="H91">
        <f t="shared" si="19"/>
        <v>6.9835567842900757E-3</v>
      </c>
      <c r="I91" s="161">
        <f t="shared" si="20"/>
        <v>2.8530270264869304E-2</v>
      </c>
      <c r="J91" s="2">
        <f t="shared" si="13"/>
        <v>8.1397632138648557E-4</v>
      </c>
      <c r="K91" s="2">
        <f t="shared" si="21"/>
        <v>2.8540875308490782E-2</v>
      </c>
      <c r="L91" s="2">
        <f t="shared" si="22"/>
        <v>8.1458156337481879E-4</v>
      </c>
      <c r="M91" s="2">
        <f t="shared" si="23"/>
        <v>3.5524432092780861E-2</v>
      </c>
      <c r="N91" s="2">
        <f t="shared" si="24"/>
        <v>1.2619852755145987E-3</v>
      </c>
    </row>
    <row r="92" spans="1:14" x14ac:dyDescent="0.25">
      <c r="A92" s="3">
        <v>176.9</v>
      </c>
      <c r="B92" s="3">
        <f t="shared" si="14"/>
        <v>7.4667902378030968</v>
      </c>
      <c r="C92" s="64">
        <v>0</v>
      </c>
      <c r="D92" s="1">
        <f t="shared" si="15"/>
        <v>2.1086522996661729E-2</v>
      </c>
      <c r="E92" s="157">
        <f t="shared" si="16"/>
        <v>4.4464145208874395E-4</v>
      </c>
      <c r="F92" s="1">
        <f t="shared" si="17"/>
        <v>9.3842383817486691E-5</v>
      </c>
      <c r="G92">
        <f t="shared" si="18"/>
        <v>1.3313384904998322E-6</v>
      </c>
      <c r="H92">
        <f t="shared" si="19"/>
        <v>4.0391236826785425E-3</v>
      </c>
      <c r="I92" s="161">
        <f t="shared" si="20"/>
        <v>2.1180365380479214E-2</v>
      </c>
      <c r="J92" s="2">
        <f t="shared" si="13"/>
        <v>4.4860787765060238E-4</v>
      </c>
      <c r="K92" s="2">
        <f t="shared" si="21"/>
        <v>2.1181696718969713E-2</v>
      </c>
      <c r="L92" s="2">
        <f t="shared" si="22"/>
        <v>4.4866427589441234E-4</v>
      </c>
      <c r="M92" s="2">
        <f t="shared" si="23"/>
        <v>2.5220820401648254E-2</v>
      </c>
      <c r="N92" s="2">
        <f t="shared" si="24"/>
        <v>6.3608978173219683E-4</v>
      </c>
    </row>
    <row r="93" spans="1:14" x14ac:dyDescent="0.25">
      <c r="A93" s="3">
        <v>194.2</v>
      </c>
      <c r="B93" s="3">
        <f t="shared" si="14"/>
        <v>7.6013993905318307</v>
      </c>
      <c r="C93" s="64">
        <v>0</v>
      </c>
      <c r="D93" s="1">
        <f t="shared" si="15"/>
        <v>1.5562527409024286E-2</v>
      </c>
      <c r="E93" s="157">
        <f t="shared" si="16"/>
        <v>2.4219225935663216E-4</v>
      </c>
      <c r="F93" s="1">
        <f t="shared" si="17"/>
        <v>3.0814057728103093E-5</v>
      </c>
      <c r="G93">
        <f t="shared" si="18"/>
        <v>1.4165374180519954E-7</v>
      </c>
      <c r="H93">
        <f t="shared" si="19"/>
        <v>2.2691455767724915E-3</v>
      </c>
      <c r="I93" s="161">
        <f t="shared" si="20"/>
        <v>1.5593341466752389E-2</v>
      </c>
      <c r="J93" s="2">
        <f t="shared" si="13"/>
        <v>2.4315229809873955E-4</v>
      </c>
      <c r="K93" s="2">
        <f t="shared" si="21"/>
        <v>1.5593483120494194E-2</v>
      </c>
      <c r="L93" s="2">
        <f t="shared" si="22"/>
        <v>2.4315671582913735E-4</v>
      </c>
      <c r="M93" s="2">
        <f t="shared" si="23"/>
        <v>1.7862628697266687E-2</v>
      </c>
      <c r="N93" s="2">
        <f t="shared" si="24"/>
        <v>3.1907350397641541E-4</v>
      </c>
    </row>
    <row r="94" spans="1:14" x14ac:dyDescent="0.25">
      <c r="A94" s="3">
        <v>213.2</v>
      </c>
      <c r="B94" s="3">
        <f t="shared" si="14"/>
        <v>7.7360636278718129</v>
      </c>
      <c r="C94" s="64">
        <v>0</v>
      </c>
      <c r="D94" s="1">
        <f t="shared" si="15"/>
        <v>1.1372588494246326E-2</v>
      </c>
      <c r="E94" s="157">
        <f t="shared" si="16"/>
        <v>1.2933576905946391E-4</v>
      </c>
      <c r="F94" s="1">
        <f t="shared" si="17"/>
        <v>9.5404111318798529E-6</v>
      </c>
      <c r="G94">
        <f t="shared" si="18"/>
        <v>1.286169489062342E-8</v>
      </c>
      <c r="H94">
        <f t="shared" si="19"/>
        <v>1.240520698343467E-3</v>
      </c>
      <c r="I94" s="161">
        <f t="shared" si="20"/>
        <v>1.1382128905378205E-2</v>
      </c>
      <c r="J94" s="2">
        <f t="shared" si="13"/>
        <v>1.2955285841864604E-4</v>
      </c>
      <c r="K94" s="2">
        <f t="shared" si="21"/>
        <v>1.1382141767073096E-2</v>
      </c>
      <c r="L94" s="2">
        <f t="shared" si="22"/>
        <v>1.2955315120574985E-4</v>
      </c>
      <c r="M94" s="2">
        <f t="shared" si="23"/>
        <v>1.2622662465416563E-2</v>
      </c>
      <c r="N94" s="2">
        <f t="shared" si="24"/>
        <v>1.5933160771583615E-4</v>
      </c>
    </row>
    <row r="95" spans="1:14" x14ac:dyDescent="0.25">
      <c r="A95" s="3">
        <v>234</v>
      </c>
      <c r="B95" s="3">
        <f t="shared" si="14"/>
        <v>7.8703647195834048</v>
      </c>
      <c r="C95" s="64">
        <v>0</v>
      </c>
      <c r="D95" s="1">
        <f t="shared" si="15"/>
        <v>8.2372105889322797E-3</v>
      </c>
      <c r="E95" s="157">
        <f t="shared" si="16"/>
        <v>6.7851638286418075E-5</v>
      </c>
      <c r="F95" s="1">
        <f t="shared" si="17"/>
        <v>2.7959014884125839E-6</v>
      </c>
      <c r="G95">
        <f t="shared" si="18"/>
        <v>1.0045455912075036E-9</v>
      </c>
      <c r="H95">
        <f t="shared" si="19"/>
        <v>6.6125176421448148E-4</v>
      </c>
      <c r="I95" s="161">
        <f t="shared" si="20"/>
        <v>8.240006490420693E-3</v>
      </c>
      <c r="J95" s="2">
        <f t="shared" si="13"/>
        <v>6.7897706962175152E-5</v>
      </c>
      <c r="K95" s="2">
        <f t="shared" si="21"/>
        <v>8.2400074949662838E-3</v>
      </c>
      <c r="L95" s="2">
        <f t="shared" si="22"/>
        <v>6.7897723517100538E-5</v>
      </c>
      <c r="M95" s="2">
        <f t="shared" si="23"/>
        <v>8.9012592591807653E-3</v>
      </c>
      <c r="N95" s="2">
        <f t="shared" si="24"/>
        <v>7.9232416399151301E-5</v>
      </c>
    </row>
    <row r="96" spans="1:14" x14ac:dyDescent="0.25">
      <c r="A96" s="3">
        <v>256.89999999999998</v>
      </c>
      <c r="B96" s="3">
        <f t="shared" si="14"/>
        <v>8.0050630800134552</v>
      </c>
      <c r="C96" s="64">
        <v>0</v>
      </c>
      <c r="D96" s="1">
        <f t="shared" si="15"/>
        <v>5.9026620747873928E-3</v>
      </c>
      <c r="E96" s="157">
        <f t="shared" si="16"/>
        <v>3.4841419569133411E-5</v>
      </c>
      <c r="F96" s="1">
        <f t="shared" si="17"/>
        <v>7.7016802618958144E-7</v>
      </c>
      <c r="G96">
        <f t="shared" si="18"/>
        <v>6.6519148546643025E-11</v>
      </c>
      <c r="H96">
        <f t="shared" si="19"/>
        <v>3.4245169254432535E-4</v>
      </c>
      <c r="I96" s="161">
        <f t="shared" si="20"/>
        <v>5.9034322428135827E-3</v>
      </c>
      <c r="J96" s="2">
        <f t="shared" si="13"/>
        <v>3.4850512245491006E-5</v>
      </c>
      <c r="K96" s="2">
        <f t="shared" si="21"/>
        <v>5.9034323093327314E-3</v>
      </c>
      <c r="L96" s="2">
        <f t="shared" si="22"/>
        <v>3.4850513030873589E-5</v>
      </c>
      <c r="M96" s="2">
        <f t="shared" si="23"/>
        <v>6.2458840018770568E-3</v>
      </c>
      <c r="N96" s="2">
        <f t="shared" si="24"/>
        <v>3.9011066964903759E-5</v>
      </c>
    </row>
    <row r="97" spans="1:14" x14ac:dyDescent="0.25">
      <c r="A97" s="3">
        <v>282.10000000000002</v>
      </c>
      <c r="B97" s="3">
        <f t="shared" si="14"/>
        <v>8.1400628556982095</v>
      </c>
      <c r="C97" s="64">
        <v>0</v>
      </c>
      <c r="D97" s="1">
        <f t="shared" si="15"/>
        <v>4.1853574331461646E-3</v>
      </c>
      <c r="E97" s="157">
        <f t="shared" si="16"/>
        <v>1.7517216843191852E-5</v>
      </c>
      <c r="F97" s="1">
        <f t="shared" si="17"/>
        <v>1.9950748997374568E-7</v>
      </c>
      <c r="G97">
        <f t="shared" si="18"/>
        <v>3.737105061106916E-12</v>
      </c>
      <c r="H97">
        <f t="shared" si="19"/>
        <v>1.7235086766198568E-4</v>
      </c>
      <c r="I97" s="161">
        <f t="shared" si="20"/>
        <v>4.1855569406361384E-3</v>
      </c>
      <c r="J97" s="2">
        <f t="shared" si="13"/>
        <v>1.7518886903307351E-5</v>
      </c>
      <c r="K97" s="2">
        <f t="shared" si="21"/>
        <v>4.1855569443732437E-3</v>
      </c>
      <c r="L97" s="2">
        <f t="shared" si="22"/>
        <v>1.7518886934591083E-5</v>
      </c>
      <c r="M97" s="2">
        <f t="shared" si="23"/>
        <v>4.3579078120352293E-3</v>
      </c>
      <c r="N97" s="2">
        <f t="shared" si="24"/>
        <v>1.8991360498197678E-5</v>
      </c>
    </row>
    <row r="98" spans="1:14" x14ac:dyDescent="0.25">
      <c r="A98" s="3">
        <v>309.60000000000002</v>
      </c>
      <c r="B98" s="3">
        <f t="shared" si="14"/>
        <v>8.2742616612570483</v>
      </c>
      <c r="C98" s="64">
        <v>0</v>
      </c>
      <c r="D98" s="1">
        <f t="shared" si="15"/>
        <v>2.9449434085023702E-3</v>
      </c>
      <c r="E98" s="157">
        <f t="shared" si="16"/>
        <v>8.672691679281558E-6</v>
      </c>
      <c r="F98" s="1">
        <f t="shared" si="17"/>
        <v>4.9155744722719809E-8</v>
      </c>
      <c r="G98">
        <f t="shared" si="18"/>
        <v>1.8252702262928575E-13</v>
      </c>
      <c r="H98">
        <f t="shared" si="19"/>
        <v>8.4783145499960934E-5</v>
      </c>
      <c r="I98" s="161">
        <f t="shared" si="20"/>
        <v>2.9449925642470931E-3</v>
      </c>
      <c r="J98" s="2">
        <f t="shared" ref="J98:J118" si="25">(C98-I98)^2</f>
        <v>8.6729812034706694E-6</v>
      </c>
      <c r="K98" s="2">
        <f t="shared" si="21"/>
        <v>2.9449925644296202E-3</v>
      </c>
      <c r="L98" s="2">
        <f t="shared" si="22"/>
        <v>8.6729812045457508E-6</v>
      </c>
      <c r="M98" s="2">
        <f t="shared" si="23"/>
        <v>3.029775709929581E-3</v>
      </c>
      <c r="N98" s="2">
        <f t="shared" si="24"/>
        <v>9.1795408524792965E-6</v>
      </c>
    </row>
    <row r="99" spans="1:14" x14ac:dyDescent="0.25">
      <c r="A99" s="3">
        <v>339.9</v>
      </c>
      <c r="B99" s="3">
        <f t="shared" si="14"/>
        <v>8.4089665516543111</v>
      </c>
      <c r="C99" s="64">
        <v>0</v>
      </c>
      <c r="D99" s="1">
        <f t="shared" si="15"/>
        <v>2.0493127270249361E-3</v>
      </c>
      <c r="E99" s="157">
        <f t="shared" si="16"/>
        <v>4.1996826531463803E-6</v>
      </c>
      <c r="F99" s="1">
        <f t="shared" si="17"/>
        <v>1.1365497250126972E-8</v>
      </c>
      <c r="G99">
        <f t="shared" si="18"/>
        <v>7.5296780574453655E-15</v>
      </c>
      <c r="H99">
        <f t="shared" si="19"/>
        <v>4.0487891889631879E-5</v>
      </c>
      <c r="I99" s="161">
        <f t="shared" si="20"/>
        <v>2.049324092522186E-3</v>
      </c>
      <c r="J99" s="2">
        <f t="shared" si="25"/>
        <v>4.1997292361918813E-6</v>
      </c>
      <c r="K99" s="2">
        <f t="shared" si="21"/>
        <v>2.0493240925297156E-3</v>
      </c>
      <c r="L99" s="2">
        <f t="shared" si="22"/>
        <v>4.1997292362227421E-6</v>
      </c>
      <c r="M99" s="2">
        <f t="shared" si="23"/>
        <v>2.0898119844193473E-3</v>
      </c>
      <c r="N99" s="2">
        <f t="shared" si="24"/>
        <v>4.3673141302227298E-6</v>
      </c>
    </row>
    <row r="100" spans="1:14" x14ac:dyDescent="0.25">
      <c r="A100" s="3">
        <v>373.1</v>
      </c>
      <c r="B100" s="3">
        <f t="shared" si="14"/>
        <v>8.5434185499294166</v>
      </c>
      <c r="C100" s="64">
        <v>0</v>
      </c>
      <c r="D100" s="1">
        <f t="shared" si="15"/>
        <v>1.4131937027913439E-3</v>
      </c>
      <c r="E100" s="157">
        <f t="shared" si="16"/>
        <v>1.9971164416091092E-6</v>
      </c>
      <c r="F100" s="1">
        <f t="shared" si="17"/>
        <v>2.48607208174472E-9</v>
      </c>
      <c r="G100">
        <f t="shared" si="18"/>
        <v>2.6698769640879356E-16</v>
      </c>
      <c r="H100">
        <f t="shared" si="19"/>
        <v>1.8846725170006372E-5</v>
      </c>
      <c r="I100" s="161">
        <f t="shared" si="20"/>
        <v>1.4131961888634256E-3</v>
      </c>
      <c r="J100" s="2">
        <f t="shared" si="25"/>
        <v>1.9971234682181109E-6</v>
      </c>
      <c r="K100" s="2">
        <f t="shared" si="21"/>
        <v>1.4131961888636925E-3</v>
      </c>
      <c r="L100" s="2">
        <f t="shared" si="22"/>
        <v>1.9971234682188652E-6</v>
      </c>
      <c r="M100" s="2">
        <f t="shared" si="23"/>
        <v>1.4320429140336989E-3</v>
      </c>
      <c r="N100" s="2">
        <f t="shared" si="24"/>
        <v>2.050746907634128E-6</v>
      </c>
    </row>
    <row r="101" spans="1:14" x14ac:dyDescent="0.25">
      <c r="A101" s="3">
        <v>409.6</v>
      </c>
      <c r="B101" s="3">
        <f t="shared" si="14"/>
        <v>8.6780719051126383</v>
      </c>
      <c r="C101" s="64">
        <v>0</v>
      </c>
      <c r="D101" s="1">
        <f t="shared" si="15"/>
        <v>9.6452711588775584E-4</v>
      </c>
      <c r="E101" s="157">
        <f t="shared" si="16"/>
        <v>9.3031255728275234E-7</v>
      </c>
      <c r="F101" s="1">
        <f t="shared" si="17"/>
        <v>5.1184040703280133E-10</v>
      </c>
      <c r="G101">
        <f t="shared" si="18"/>
        <v>8.0465769089093704E-18</v>
      </c>
      <c r="H101">
        <f t="shared" si="19"/>
        <v>8.5295571883277735E-6</v>
      </c>
      <c r="I101" s="161">
        <f t="shared" si="20"/>
        <v>9.6452762772816292E-4</v>
      </c>
      <c r="J101" s="2">
        <f t="shared" si="25"/>
        <v>9.3031354465091762E-7</v>
      </c>
      <c r="K101" s="2">
        <f t="shared" si="21"/>
        <v>9.6452762772817095E-4</v>
      </c>
      <c r="L101" s="2">
        <f t="shared" si="22"/>
        <v>9.3031354465093308E-7</v>
      </c>
      <c r="M101" s="2">
        <f t="shared" si="23"/>
        <v>9.7305718491649872E-4</v>
      </c>
      <c r="N101" s="2">
        <f t="shared" si="24"/>
        <v>9.4684028511762122E-7</v>
      </c>
    </row>
    <row r="102" spans="1:14" x14ac:dyDescent="0.25">
      <c r="A102" s="59">
        <v>449.66</v>
      </c>
      <c r="B102" s="3">
        <f t="shared" si="14"/>
        <v>8.8126907429649091</v>
      </c>
      <c r="C102" s="64">
        <v>0</v>
      </c>
      <c r="D102" s="1">
        <f t="shared" ref="D102:D118" si="26">$Q$2*((1/(SQRT(2*PI())*$Q$4))*EXP(-((((LOG(A102,2)-$Q$3)^2)/(2*($Q$4^2))))))</f>
        <v>6.519723662853211E-4</v>
      </c>
      <c r="E102" s="157">
        <f t="shared" si="16"/>
        <v>4.2506796639968087E-7</v>
      </c>
      <c r="F102" s="1">
        <f t="shared" si="17"/>
        <v>9.9450341292692767E-11</v>
      </c>
      <c r="G102">
        <f t="shared" si="18"/>
        <v>2.0733523940580251E-19</v>
      </c>
      <c r="H102">
        <f t="shared" si="19"/>
        <v>3.7581859876529582E-6</v>
      </c>
      <c r="I102" s="161">
        <f t="shared" si="20"/>
        <v>6.519724657356624E-4</v>
      </c>
      <c r="J102" s="2">
        <f t="shared" si="25"/>
        <v>4.2506809607743947E-7</v>
      </c>
      <c r="K102" s="2">
        <f t="shared" si="21"/>
        <v>6.5197246573566261E-4</v>
      </c>
      <c r="L102" s="2">
        <f t="shared" si="22"/>
        <v>4.2506809607743978E-7</v>
      </c>
      <c r="M102" s="2">
        <f t="shared" si="23"/>
        <v>6.557306517233156E-4</v>
      </c>
      <c r="N102" s="2">
        <f t="shared" si="24"/>
        <v>4.2998268760948419E-7</v>
      </c>
    </row>
    <row r="103" spans="1:14" x14ac:dyDescent="0.25">
      <c r="A103" s="59">
        <v>493.62</v>
      </c>
      <c r="B103" s="3">
        <f t="shared" si="14"/>
        <v>8.9472570391167423</v>
      </c>
      <c r="C103" s="64">
        <v>0</v>
      </c>
      <c r="D103" s="1">
        <f t="shared" si="26"/>
        <v>4.364885148333274E-4</v>
      </c>
      <c r="E103" s="157">
        <f t="shared" si="16"/>
        <v>1.9052222358140387E-7</v>
      </c>
      <c r="F103" s="1">
        <f t="shared" si="17"/>
        <v>1.8241001385274928E-11</v>
      </c>
      <c r="G103">
        <f t="shared" si="18"/>
        <v>4.570421447489469E-21</v>
      </c>
      <c r="H103">
        <f t="shared" si="19"/>
        <v>1.6123164348261321E-6</v>
      </c>
      <c r="I103" s="161">
        <f t="shared" si="20"/>
        <v>4.3648853307432878E-4</v>
      </c>
      <c r="J103" s="2">
        <f t="shared" si="25"/>
        <v>1.9052223950537941E-7</v>
      </c>
      <c r="K103" s="2">
        <f t="shared" si="21"/>
        <v>4.3648853307432878E-4</v>
      </c>
      <c r="L103" s="2">
        <f t="shared" si="22"/>
        <v>1.9052223950537941E-7</v>
      </c>
      <c r="M103" s="2">
        <f t="shared" si="23"/>
        <v>4.3810084950915489E-4</v>
      </c>
      <c r="N103" s="2">
        <f t="shared" si="24"/>
        <v>1.9193235434064318E-7</v>
      </c>
    </row>
    <row r="104" spans="1:14" x14ac:dyDescent="0.25">
      <c r="A104" s="59">
        <v>541.88</v>
      </c>
      <c r="B104" s="3">
        <f t="shared" si="14"/>
        <v>9.0818295901127488</v>
      </c>
      <c r="C104" s="64">
        <v>0</v>
      </c>
      <c r="D104" s="1">
        <f t="shared" si="26"/>
        <v>2.8938191458898052E-4</v>
      </c>
      <c r="E104" s="157">
        <f t="shared" si="16"/>
        <v>8.3741892491184018E-8</v>
      </c>
      <c r="F104" s="1">
        <f t="shared" si="17"/>
        <v>3.1561162646505217E-12</v>
      </c>
      <c r="G104">
        <f t="shared" si="18"/>
        <v>8.605417787848913E-23</v>
      </c>
      <c r="H104">
        <f t="shared" si="19"/>
        <v>6.7326801344102135E-7</v>
      </c>
      <c r="I104" s="161">
        <f t="shared" si="20"/>
        <v>2.8938191774509678E-4</v>
      </c>
      <c r="J104" s="2">
        <f t="shared" si="25"/>
        <v>8.3741894317829958E-8</v>
      </c>
      <c r="K104" s="2">
        <f t="shared" si="21"/>
        <v>2.8938191774509678E-4</v>
      </c>
      <c r="L104" s="2">
        <f t="shared" si="22"/>
        <v>8.3741894317829958E-8</v>
      </c>
      <c r="M104" s="2">
        <f t="shared" si="23"/>
        <v>2.9005518575853778E-4</v>
      </c>
      <c r="N104" s="2">
        <f t="shared" si="24"/>
        <v>8.4132010785419862E-8</v>
      </c>
    </row>
    <row r="105" spans="1:14" x14ac:dyDescent="0.25">
      <c r="A105" s="59">
        <v>594.85</v>
      </c>
      <c r="B105" s="3">
        <f t="shared" si="14"/>
        <v>9.2163821077103201</v>
      </c>
      <c r="C105" s="64">
        <v>0</v>
      </c>
      <c r="D105" s="1">
        <f t="shared" si="26"/>
        <v>1.9000297614002953E-4</v>
      </c>
      <c r="E105" s="157">
        <f t="shared" si="16"/>
        <v>3.610113094206863E-8</v>
      </c>
      <c r="F105" s="1">
        <f t="shared" si="17"/>
        <v>5.1531400814745998E-13</v>
      </c>
      <c r="G105">
        <f t="shared" si="18"/>
        <v>1.3850573823790946E-24</v>
      </c>
      <c r="H105">
        <f t="shared" si="19"/>
        <v>2.7369524911162882E-7</v>
      </c>
      <c r="I105" s="161">
        <f t="shared" si="20"/>
        <v>1.9000297665534353E-4</v>
      </c>
      <c r="J105" s="2">
        <f t="shared" si="25"/>
        <v>3.610113113789102E-8</v>
      </c>
      <c r="K105" s="2">
        <f t="shared" si="21"/>
        <v>1.9000297665534353E-4</v>
      </c>
      <c r="L105" s="2">
        <f t="shared" si="22"/>
        <v>3.610113113789102E-8</v>
      </c>
      <c r="M105" s="2">
        <f t="shared" si="23"/>
        <v>1.9027667190445516E-4</v>
      </c>
      <c r="N105" s="2">
        <f t="shared" si="24"/>
        <v>3.6205211871035674E-8</v>
      </c>
    </row>
    <row r="106" spans="1:14" x14ac:dyDescent="0.25">
      <c r="A106" s="59">
        <v>653.01</v>
      </c>
      <c r="B106" s="3">
        <f t="shared" si="14"/>
        <v>9.3509612747163278</v>
      </c>
      <c r="C106" s="64">
        <v>0</v>
      </c>
      <c r="D106" s="1">
        <f t="shared" si="26"/>
        <v>1.2353106081761477E-4</v>
      </c>
      <c r="E106" s="157">
        <f t="shared" si="16"/>
        <v>1.5259922986725241E-8</v>
      </c>
      <c r="F106" s="1">
        <f t="shared" si="17"/>
        <v>7.9347015974235391E-14</v>
      </c>
      <c r="G106">
        <f t="shared" si="18"/>
        <v>1.9029020800448322E-26</v>
      </c>
      <c r="H106">
        <f t="shared" si="19"/>
        <v>1.0828084053232849E-7</v>
      </c>
      <c r="I106" s="161">
        <f t="shared" si="20"/>
        <v>1.2353106089696178E-4</v>
      </c>
      <c r="J106" s="2">
        <f t="shared" si="25"/>
        <v>1.5259923006328879E-8</v>
      </c>
      <c r="K106" s="2">
        <f t="shared" si="21"/>
        <v>1.2353106089696178E-4</v>
      </c>
      <c r="L106" s="2">
        <f t="shared" si="22"/>
        <v>1.5259923006328879E-8</v>
      </c>
      <c r="M106" s="2">
        <f t="shared" si="23"/>
        <v>1.2363934173749411E-4</v>
      </c>
      <c r="N106" s="2">
        <f t="shared" si="24"/>
        <v>1.5286686825280852E-8</v>
      </c>
    </row>
    <row r="107" spans="1:14" x14ac:dyDescent="0.25">
      <c r="A107" s="59">
        <v>716.85</v>
      </c>
      <c r="B107" s="3">
        <f t="shared" si="14"/>
        <v>9.4855274580802593</v>
      </c>
      <c r="C107" s="64">
        <v>0</v>
      </c>
      <c r="D107" s="1">
        <f t="shared" si="26"/>
        <v>7.9537714646354187E-5</v>
      </c>
      <c r="E107" s="157">
        <f t="shared" si="16"/>
        <v>6.326248051164865E-9</v>
      </c>
      <c r="F107" s="1">
        <f t="shared" si="17"/>
        <v>1.1528276401862263E-14</v>
      </c>
      <c r="G107">
        <f t="shared" si="18"/>
        <v>2.2343743283185177E-28</v>
      </c>
      <c r="H107">
        <f t="shared" si="19"/>
        <v>4.1702095044891084E-8</v>
      </c>
      <c r="I107" s="161">
        <f t="shared" si="20"/>
        <v>7.9537714657882468E-5</v>
      </c>
      <c r="J107" s="2">
        <f t="shared" si="25"/>
        <v>6.3262480529987319E-9</v>
      </c>
      <c r="K107" s="2">
        <f t="shared" si="21"/>
        <v>7.9537714657882468E-5</v>
      </c>
      <c r="L107" s="2">
        <f t="shared" si="22"/>
        <v>6.3262480529987319E-9</v>
      </c>
      <c r="M107" s="2">
        <f t="shared" si="23"/>
        <v>7.9579416752927353E-5</v>
      </c>
      <c r="N107" s="2">
        <f t="shared" si="24"/>
        <v>6.3328835707360949E-9</v>
      </c>
    </row>
    <row r="108" spans="1:14" x14ac:dyDescent="0.25">
      <c r="A108" s="59">
        <v>786.93</v>
      </c>
      <c r="B108" s="3">
        <f t="shared" si="14"/>
        <v>9.6200914987675059</v>
      </c>
      <c r="C108" s="64">
        <v>0</v>
      </c>
      <c r="D108" s="1">
        <f t="shared" si="26"/>
        <v>5.0715011264386144E-5</v>
      </c>
      <c r="E108" s="157">
        <f t="shared" si="16"/>
        <v>2.5720123675468136E-9</v>
      </c>
      <c r="F108" s="1">
        <f t="shared" si="17"/>
        <v>1.5801927602938484E-15</v>
      </c>
      <c r="G108">
        <f t="shared" si="18"/>
        <v>2.2415181889424874E-30</v>
      </c>
      <c r="H108">
        <f t="shared" si="19"/>
        <v>1.5633442340436799E-8</v>
      </c>
      <c r="I108" s="161">
        <f t="shared" si="20"/>
        <v>5.0715011265966334E-5</v>
      </c>
      <c r="J108" s="2">
        <f t="shared" si="25"/>
        <v>2.5720123677070923E-9</v>
      </c>
      <c r="K108" s="2">
        <f t="shared" si="21"/>
        <v>5.0715011265966334E-5</v>
      </c>
      <c r="L108" s="2">
        <f t="shared" si="22"/>
        <v>2.5720123677070923E-9</v>
      </c>
      <c r="M108" s="2">
        <f t="shared" si="23"/>
        <v>5.0730644708306771E-5</v>
      </c>
      <c r="N108" s="2">
        <f t="shared" si="24"/>
        <v>2.5735983125204537E-9</v>
      </c>
    </row>
    <row r="109" spans="1:14" x14ac:dyDescent="0.25">
      <c r="A109" s="59">
        <v>863.87</v>
      </c>
      <c r="B109" s="3">
        <f t="shared" si="14"/>
        <v>9.7546704136606657</v>
      </c>
      <c r="C109" s="64">
        <v>0</v>
      </c>
      <c r="D109" s="1">
        <f t="shared" si="26"/>
        <v>3.2021458486743855E-5</v>
      </c>
      <c r="E109" s="157">
        <f t="shared" si="16"/>
        <v>1.02537380361826E-9</v>
      </c>
      <c r="F109" s="1">
        <f t="shared" si="17"/>
        <v>2.0429367834244011E-16</v>
      </c>
      <c r="G109">
        <f t="shared" si="18"/>
        <v>1.9200520202929757E-32</v>
      </c>
      <c r="H109">
        <f t="shared" si="19"/>
        <v>5.7040890654019214E-9</v>
      </c>
      <c r="I109" s="161">
        <f t="shared" si="20"/>
        <v>3.2021458486948145E-5</v>
      </c>
      <c r="J109" s="2">
        <f t="shared" si="25"/>
        <v>1.0253738036313435E-9</v>
      </c>
      <c r="K109" s="2">
        <f t="shared" si="21"/>
        <v>3.2021458486948145E-5</v>
      </c>
      <c r="L109" s="2">
        <f t="shared" si="22"/>
        <v>1.0253738036313435E-9</v>
      </c>
      <c r="M109" s="2">
        <f t="shared" si="23"/>
        <v>3.2027162576013548E-5</v>
      </c>
      <c r="N109" s="2">
        <f t="shared" si="24"/>
        <v>1.0257391426704028E-9</v>
      </c>
    </row>
    <row r="110" spans="1:14" x14ac:dyDescent="0.25">
      <c r="A110" s="59">
        <v>948.32</v>
      </c>
      <c r="B110" s="3">
        <f t="shared" si="14"/>
        <v>9.8892301523928872</v>
      </c>
      <c r="C110" s="64">
        <v>0</v>
      </c>
      <c r="D110" s="1">
        <f t="shared" si="26"/>
        <v>2.0023389022649385E-5</v>
      </c>
      <c r="E110" s="157">
        <f t="shared" si="16"/>
        <v>4.0093610795235591E-10</v>
      </c>
      <c r="F110" s="1">
        <f t="shared" si="17"/>
        <v>2.492441458450946E-17</v>
      </c>
      <c r="G110">
        <f t="shared" si="18"/>
        <v>1.406029505225002E-34</v>
      </c>
      <c r="H110">
        <f t="shared" si="19"/>
        <v>2.0261158229252229E-9</v>
      </c>
      <c r="I110" s="161">
        <f t="shared" si="20"/>
        <v>2.0023389022674308E-5</v>
      </c>
      <c r="J110" s="2">
        <f t="shared" si="25"/>
        <v>4.0093610795335401E-10</v>
      </c>
      <c r="K110" s="2">
        <f t="shared" si="21"/>
        <v>2.0023389022674308E-5</v>
      </c>
      <c r="L110" s="2">
        <f t="shared" si="22"/>
        <v>4.0093610795335401E-10</v>
      </c>
      <c r="M110" s="2">
        <f t="shared" si="23"/>
        <v>2.0025415138497233E-5</v>
      </c>
      <c r="N110" s="2">
        <f t="shared" si="24"/>
        <v>4.0101725146915417E-10</v>
      </c>
    </row>
    <row r="111" spans="1:14" x14ac:dyDescent="0.25">
      <c r="A111" s="59">
        <v>1041</v>
      </c>
      <c r="B111" s="3">
        <f t="shared" si="14"/>
        <v>10.023754353299418</v>
      </c>
      <c r="C111" s="64">
        <v>0</v>
      </c>
      <c r="D111" s="1">
        <f t="shared" si="26"/>
        <v>1.2400903613950422E-5</v>
      </c>
      <c r="E111" s="157">
        <f t="shared" si="16"/>
        <v>1.5378241044248866E-10</v>
      </c>
      <c r="F111" s="1">
        <f t="shared" si="17"/>
        <v>2.870428314837154E-18</v>
      </c>
      <c r="G111">
        <f t="shared" si="18"/>
        <v>8.8082154863727119E-37</v>
      </c>
      <c r="H111">
        <f t="shared" si="19"/>
        <v>7.0072938628465685E-10</v>
      </c>
      <c r="I111" s="161">
        <f t="shared" si="20"/>
        <v>1.2400903613953292E-5</v>
      </c>
      <c r="J111" s="2">
        <f t="shared" si="25"/>
        <v>1.5378241044255982E-10</v>
      </c>
      <c r="K111" s="2">
        <f t="shared" si="21"/>
        <v>1.2400903613953292E-5</v>
      </c>
      <c r="L111" s="2">
        <f t="shared" si="22"/>
        <v>1.5378241044255982E-10</v>
      </c>
      <c r="M111" s="2">
        <f t="shared" si="23"/>
        <v>1.2401604343339577E-5</v>
      </c>
      <c r="N111" s="2">
        <f t="shared" si="24"/>
        <v>1.5379979028873905E-10</v>
      </c>
    </row>
    <row r="112" spans="1:14" x14ac:dyDescent="0.25">
      <c r="A112" s="59">
        <v>1142.8</v>
      </c>
      <c r="B112" s="3">
        <f t="shared" si="14"/>
        <v>10.158357226049009</v>
      </c>
      <c r="C112" s="64">
        <v>0</v>
      </c>
      <c r="D112" s="1">
        <f t="shared" si="26"/>
        <v>7.6034317350437149E-6</v>
      </c>
      <c r="E112" s="157">
        <f t="shared" si="16"/>
        <v>5.7812174149469876E-11</v>
      </c>
      <c r="F112" s="1">
        <f t="shared" si="17"/>
        <v>3.1146629097738006E-19</v>
      </c>
      <c r="G112">
        <f t="shared" si="18"/>
        <v>4.6999170180345303E-39</v>
      </c>
      <c r="H112">
        <f t="shared" si="19"/>
        <v>2.3574764964506379E-10</v>
      </c>
      <c r="I112" s="161">
        <f t="shared" si="20"/>
        <v>7.6034317350440266E-6</v>
      </c>
      <c r="J112" s="2">
        <f t="shared" si="25"/>
        <v>5.7812174149474619E-11</v>
      </c>
      <c r="K112" s="2">
        <f t="shared" si="21"/>
        <v>7.6034317350440266E-6</v>
      </c>
      <c r="L112" s="2">
        <f t="shared" si="22"/>
        <v>5.7812174149474619E-11</v>
      </c>
      <c r="M112" s="2">
        <f t="shared" si="23"/>
        <v>7.6036674826936718E-6</v>
      </c>
      <c r="N112" s="2">
        <f t="shared" si="24"/>
        <v>5.7815759187373122E-11</v>
      </c>
    </row>
    <row r="113" spans="1:14" x14ac:dyDescent="0.25">
      <c r="A113" s="59">
        <v>1254.5</v>
      </c>
      <c r="B113" s="3">
        <f t="shared" si="14"/>
        <v>10.292896755409174</v>
      </c>
      <c r="C113" s="64">
        <v>0</v>
      </c>
      <c r="D113" s="1">
        <f t="shared" si="26"/>
        <v>4.6177451554760921E-6</v>
      </c>
      <c r="E113" s="157">
        <f t="shared" si="16"/>
        <v>2.1323570320922916E-11</v>
      </c>
      <c r="F113" s="1">
        <f t="shared" si="17"/>
        <v>3.19176811638526E-20</v>
      </c>
      <c r="G113">
        <f t="shared" si="18"/>
        <v>2.1477685835456634E-41</v>
      </c>
      <c r="H113">
        <f t="shared" si="19"/>
        <v>7.7241828304469666E-11</v>
      </c>
      <c r="I113" s="161">
        <f t="shared" si="20"/>
        <v>4.6177451554761243E-6</v>
      </c>
      <c r="J113" s="2">
        <f t="shared" si="25"/>
        <v>2.1323570320923214E-11</v>
      </c>
      <c r="K113" s="2">
        <f t="shared" si="21"/>
        <v>4.6177451554761243E-6</v>
      </c>
      <c r="L113" s="2">
        <f t="shared" si="22"/>
        <v>2.1323570320923214E-11</v>
      </c>
      <c r="M113" s="2">
        <f t="shared" si="23"/>
        <v>4.6178223973044286E-6</v>
      </c>
      <c r="N113" s="2">
        <f t="shared" si="24"/>
        <v>2.1324283693046421E-11</v>
      </c>
    </row>
    <row r="114" spans="1:14" x14ac:dyDescent="0.25">
      <c r="A114" s="59">
        <v>1377.2</v>
      </c>
      <c r="B114" s="3">
        <f t="shared" si="14"/>
        <v>10.427522370682553</v>
      </c>
      <c r="C114" s="64">
        <v>0</v>
      </c>
      <c r="D114" s="1">
        <f t="shared" si="26"/>
        <v>2.7763399310529752E-6</v>
      </c>
      <c r="E114" s="157">
        <f t="shared" si="16"/>
        <v>7.7080634127592401E-12</v>
      </c>
      <c r="F114" s="1">
        <f t="shared" si="17"/>
        <v>3.081074901619909E-21</v>
      </c>
      <c r="G114">
        <f t="shared" si="18"/>
        <v>8.3553258327289531E-44</v>
      </c>
      <c r="H114">
        <f t="shared" si="19"/>
        <v>2.4616406447076113E-11</v>
      </c>
      <c r="I114" s="161">
        <f t="shared" si="20"/>
        <v>2.7763399310529782E-6</v>
      </c>
      <c r="J114" s="2">
        <f t="shared" si="25"/>
        <v>7.7080634127592562E-12</v>
      </c>
      <c r="K114" s="2">
        <f t="shared" si="21"/>
        <v>2.7763399310529782E-6</v>
      </c>
      <c r="L114" s="2">
        <f t="shared" si="22"/>
        <v>7.7080634127592562E-12</v>
      </c>
      <c r="M114" s="2">
        <f t="shared" si="23"/>
        <v>2.7763645474594252E-6</v>
      </c>
      <c r="N114" s="2">
        <f t="shared" si="24"/>
        <v>7.7082001003895793E-12</v>
      </c>
    </row>
    <row r="115" spans="1:14" x14ac:dyDescent="0.25">
      <c r="A115" s="59">
        <v>1511.8</v>
      </c>
      <c r="B115" s="3">
        <f t="shared" si="14"/>
        <v>10.562051578921384</v>
      </c>
      <c r="C115" s="64">
        <v>0</v>
      </c>
      <c r="D115" s="1">
        <f t="shared" si="26"/>
        <v>1.6536275280247641E-6</v>
      </c>
      <c r="E115" s="157">
        <f t="shared" si="16"/>
        <v>2.7344840014412921E-12</v>
      </c>
      <c r="F115" s="1">
        <f t="shared" si="17"/>
        <v>2.810626087139827E-22</v>
      </c>
      <c r="G115">
        <f t="shared" si="18"/>
        <v>2.7879995742558438E-46</v>
      </c>
      <c r="H115">
        <f t="shared" si="19"/>
        <v>7.6425494107936864E-12</v>
      </c>
      <c r="I115" s="161">
        <f t="shared" si="20"/>
        <v>1.6536275280247643E-6</v>
      </c>
      <c r="J115" s="2">
        <f t="shared" si="25"/>
        <v>2.7344840014412929E-12</v>
      </c>
      <c r="K115" s="2">
        <f t="shared" si="21"/>
        <v>1.6536275280247643E-6</v>
      </c>
      <c r="L115" s="2">
        <f t="shared" si="22"/>
        <v>2.7344840014412929E-12</v>
      </c>
      <c r="M115" s="2">
        <f t="shared" si="23"/>
        <v>1.6536351705741751E-6</v>
      </c>
      <c r="N115" s="2">
        <f t="shared" si="24"/>
        <v>2.7345092773598811E-12</v>
      </c>
    </row>
    <row r="116" spans="1:14" x14ac:dyDescent="0.25">
      <c r="A116" s="59">
        <v>1659.6</v>
      </c>
      <c r="B116" s="3">
        <f t="shared" si="14"/>
        <v>10.696619846984287</v>
      </c>
      <c r="C116" s="64">
        <v>0</v>
      </c>
      <c r="D116" s="1">
        <f t="shared" si="26"/>
        <v>9.7521692141542865E-7</v>
      </c>
      <c r="E116" s="157">
        <f t="shared" si="16"/>
        <v>9.5104804381498634E-13</v>
      </c>
      <c r="F116" s="1">
        <f t="shared" si="17"/>
        <v>2.4171455923086983E-23</v>
      </c>
      <c r="G116">
        <f t="shared" si="18"/>
        <v>7.9346030993515733E-49</v>
      </c>
      <c r="H116">
        <f t="shared" si="19"/>
        <v>2.308815937197455E-12</v>
      </c>
      <c r="I116" s="161">
        <f t="shared" si="20"/>
        <v>9.7521692141542865E-7</v>
      </c>
      <c r="J116" s="2">
        <f t="shared" si="25"/>
        <v>9.5104804381498634E-13</v>
      </c>
      <c r="K116" s="2">
        <f t="shared" si="21"/>
        <v>9.7521692141542865E-7</v>
      </c>
      <c r="L116" s="2">
        <f t="shared" si="22"/>
        <v>9.5104804381498634E-13</v>
      </c>
      <c r="M116" s="2">
        <f t="shared" si="23"/>
        <v>9.7521923023136586E-7</v>
      </c>
      <c r="N116" s="2">
        <f t="shared" si="24"/>
        <v>9.5105254701305781E-13</v>
      </c>
    </row>
    <row r="117" spans="1:14" x14ac:dyDescent="0.25">
      <c r="A117" s="59">
        <v>1821.9</v>
      </c>
      <c r="B117" s="3">
        <f t="shared" si="14"/>
        <v>10.831228059683866</v>
      </c>
      <c r="C117" s="64">
        <v>0</v>
      </c>
      <c r="D117" s="1">
        <f t="shared" si="26"/>
        <v>5.6945315714984693E-7</v>
      </c>
      <c r="E117" s="157">
        <f t="shared" si="16"/>
        <v>3.2427689818792827E-13</v>
      </c>
      <c r="F117" s="1">
        <f t="shared" si="17"/>
        <v>1.9596214258080975E-24</v>
      </c>
      <c r="G117">
        <f t="shared" si="18"/>
        <v>1.92567920229595E-51</v>
      </c>
      <c r="H117">
        <f t="shared" si="19"/>
        <v>6.7867849285579335E-13</v>
      </c>
      <c r="I117" s="161">
        <f t="shared" si="20"/>
        <v>5.6945315714984693E-7</v>
      </c>
      <c r="J117" s="2">
        <f t="shared" si="25"/>
        <v>3.2427689818792827E-13</v>
      </c>
      <c r="K117" s="2">
        <f t="shared" si="21"/>
        <v>5.6945315714984693E-7</v>
      </c>
      <c r="L117" s="2">
        <f t="shared" si="22"/>
        <v>3.2427689818792827E-13</v>
      </c>
      <c r="M117" s="2">
        <f t="shared" si="23"/>
        <v>5.6945383582833983E-7</v>
      </c>
      <c r="N117" s="2">
        <f t="shared" si="24"/>
        <v>3.2427767113960981E-13</v>
      </c>
    </row>
    <row r="118" spans="1:14" x14ac:dyDescent="0.25">
      <c r="A118" s="80">
        <v>2000</v>
      </c>
      <c r="B118" s="3">
        <f t="shared" si="14"/>
        <v>10.965784284662087</v>
      </c>
      <c r="C118" s="118"/>
      <c r="D118" s="1">
        <f t="shared" si="26"/>
        <v>3.2935795854859877E-7</v>
      </c>
      <c r="E118" s="157">
        <f t="shared" si="16"/>
        <v>1.0847666485930051E-13</v>
      </c>
      <c r="F118" s="1">
        <f t="shared" si="17"/>
        <v>1.5002366761708044E-25</v>
      </c>
      <c r="G118">
        <f t="shared" si="18"/>
        <v>4.0018793211644285E-54</v>
      </c>
      <c r="H118">
        <f t="shared" si="19"/>
        <v>1.9427964534354109E-13</v>
      </c>
      <c r="I118" s="161">
        <f t="shared" si="20"/>
        <v>3.2935795854859877E-7</v>
      </c>
      <c r="J118" s="2">
        <f t="shared" si="25"/>
        <v>1.0847666485930051E-13</v>
      </c>
      <c r="K118" s="2">
        <f t="shared" si="21"/>
        <v>3.2935795854859877E-7</v>
      </c>
      <c r="L118" s="2">
        <f t="shared" si="22"/>
        <v>1.0847666485930051E-13</v>
      </c>
      <c r="M118" s="2">
        <f t="shared" si="23"/>
        <v>3.2935815282824411E-7</v>
      </c>
      <c r="N118" s="2">
        <f t="shared" si="24"/>
        <v>1.08476792834433E-13</v>
      </c>
    </row>
    <row r="119" spans="1:14" x14ac:dyDescent="0.25">
      <c r="D119" s="115">
        <f t="shared" ref="D119:N119" si="27">SUM(D2:D118)</f>
        <v>51.964308860429654</v>
      </c>
      <c r="E119" s="158">
        <f t="shared" si="27"/>
        <v>152.16595208657384</v>
      </c>
      <c r="F119" s="115">
        <f t="shared" si="27"/>
        <v>23.42520157159068</v>
      </c>
      <c r="G119">
        <f t="shared" si="27"/>
        <v>23.190460297442186</v>
      </c>
      <c r="H119" s="115">
        <f t="shared" si="27"/>
        <v>21.912327381894929</v>
      </c>
      <c r="I119" s="162">
        <f t="shared" si="27"/>
        <v>75.38951043202033</v>
      </c>
      <c r="J119" s="159">
        <f t="shared" si="27"/>
        <v>60.98390583869601</v>
      </c>
      <c r="K119" s="116">
        <f t="shared" si="27"/>
        <v>98.579970729462502</v>
      </c>
      <c r="L119" s="159">
        <f t="shared" si="27"/>
        <v>0.78655182286059999</v>
      </c>
      <c r="M119" s="116">
        <f t="shared" si="27"/>
        <v>120.49229811135746</v>
      </c>
      <c r="N119" s="159">
        <f t="shared" si="27"/>
        <v>22.765477804033679</v>
      </c>
    </row>
  </sheetData>
  <conditionalFormatting sqref="I2:I1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:D1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1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:G1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1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1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F119"/>
  <sheetViews>
    <sheetView topLeftCell="U7" workbookViewId="0">
      <selection activeCell="D3" sqref="D3"/>
    </sheetView>
  </sheetViews>
  <sheetFormatPr baseColWidth="10" defaultRowHeight="15" x14ac:dyDescent="0.25"/>
  <cols>
    <col min="5" max="5" width="12" bestFit="1" customWidth="1"/>
  </cols>
  <sheetData>
    <row r="1" spans="1:14" x14ac:dyDescent="0.25">
      <c r="A1" t="s">
        <v>0</v>
      </c>
      <c r="B1" t="s">
        <v>1</v>
      </c>
      <c r="C1" s="60" t="s">
        <v>41</v>
      </c>
      <c r="D1" s="2" t="s">
        <v>2</v>
      </c>
      <c r="E1" s="60" t="s">
        <v>32</v>
      </c>
      <c r="F1" s="60" t="s">
        <v>42</v>
      </c>
    </row>
    <row r="2" spans="1:14" x14ac:dyDescent="0.25">
      <c r="A2" s="3">
        <v>0.04</v>
      </c>
      <c r="B2" s="58">
        <v>2.1023600000000001E-4</v>
      </c>
      <c r="C2" s="1">
        <f>($K$3*((1/(SQRT(2*PI())*$K$5))*EXP(-((((LOG(A2,2)-$K$4)^2)/(2*($K$5^2)))))))+(($N$4/$N$5)*(A2^($N$4-1))*EXP(-((A2/$N$5)^$N$4)))</f>
        <v>6.6776380251045765E-4</v>
      </c>
      <c r="D2" s="2">
        <f t="shared" ref="D2:D33" si="0">(B2-C2)^2</f>
        <v>2.093316900700483E-7</v>
      </c>
      <c r="E2" s="1">
        <f>($K$3*((1/(SQRT(2*PI())*$K$5))*EXP(-((((LOG(A2,2)-$K$4)^2)/(2*($K$5^2)))))))</f>
        <v>2.3212028052342185E-10</v>
      </c>
      <c r="F2" s="1">
        <f>(($N$4/$N$5)*(A2^($N$4-1))*EXP(-((A2/$N$5)^$N$4)))</f>
        <v>6.6776357039017708E-4</v>
      </c>
      <c r="J2" t="s">
        <v>32</v>
      </c>
      <c r="N2" t="s">
        <v>42</v>
      </c>
    </row>
    <row r="3" spans="1:14" x14ac:dyDescent="0.25">
      <c r="A3" s="3">
        <v>4.3999999999999997E-2</v>
      </c>
      <c r="B3" s="59">
        <v>2.8519599999999998E-4</v>
      </c>
      <c r="C3" s="1">
        <f t="shared" ref="C3:C66" si="1">($K$3*((1/(SQRT(2*PI())*$K$5))*EXP(-((((LOG(A3,2)-$K$4)^2)/(2*($K$5^2)))))))+(($N$4/$N$5)*(A3^($N$4-1))*EXP(-((A3/$N$5)^$N$4)))</f>
        <v>7.5711849667451975E-4</v>
      </c>
      <c r="D3" s="2">
        <f t="shared" si="0"/>
        <v>2.2271084286751211E-7</v>
      </c>
      <c r="E3" s="1">
        <f t="shared" ref="E3:E66" si="2">($K$3*((1/(SQRT(2*PI())*$K$5))*EXP(-((((LOG(A3,2)-$K$4)^2)/(2*($K$5^2)))))))</f>
        <v>5.3563211627802781E-10</v>
      </c>
      <c r="F3" s="1">
        <f t="shared" ref="F3:F66" si="3">(($N$4/$N$5)*(A3^($N$4-1))*EXP(-((A3/$N$5)^$N$4)))</f>
        <v>7.571179610424035E-4</v>
      </c>
      <c r="J3" t="s">
        <v>36</v>
      </c>
      <c r="K3">
        <v>5.4475287858048498</v>
      </c>
      <c r="L3">
        <v>0</v>
      </c>
      <c r="M3">
        <v>0</v>
      </c>
      <c r="N3">
        <v>0</v>
      </c>
    </row>
    <row r="4" spans="1:14" x14ac:dyDescent="0.25">
      <c r="A4" s="3">
        <v>4.8000000000000001E-2</v>
      </c>
      <c r="B4" s="59">
        <v>4.7028100000000002E-4</v>
      </c>
      <c r="C4" s="1">
        <f t="shared" si="1"/>
        <v>8.4909444734012588E-4</v>
      </c>
      <c r="D4" s="2">
        <f t="shared" si="0"/>
        <v>1.434996278857103E-7</v>
      </c>
      <c r="E4" s="1">
        <f t="shared" si="2"/>
        <v>1.1336852593319952E-9</v>
      </c>
      <c r="F4" s="1">
        <f t="shared" si="3"/>
        <v>8.4909331365486649E-4</v>
      </c>
      <c r="J4" t="s">
        <v>30</v>
      </c>
      <c r="K4">
        <v>2.8059857938735342</v>
      </c>
      <c r="L4">
        <v>0</v>
      </c>
      <c r="M4">
        <v>0</v>
      </c>
      <c r="N4">
        <v>2.317644250456349</v>
      </c>
    </row>
    <row r="5" spans="1:14" x14ac:dyDescent="0.25">
      <c r="A5" s="3">
        <v>5.2999999999999999E-2</v>
      </c>
      <c r="B5" s="59">
        <v>9.4659099999999999E-4</v>
      </c>
      <c r="C5" s="1">
        <f t="shared" si="1"/>
        <v>9.6752216206079551E-4</v>
      </c>
      <c r="D5" s="2">
        <f t="shared" si="0"/>
        <v>4.3811354521528582E-10</v>
      </c>
      <c r="E5" s="1">
        <f t="shared" si="2"/>
        <v>2.6209404245682704E-9</v>
      </c>
      <c r="F5" s="1">
        <f t="shared" si="3"/>
        <v>9.6751954112037097E-4</v>
      </c>
      <c r="J5" t="s">
        <v>31</v>
      </c>
      <c r="K5">
        <v>1.1017021474826376</v>
      </c>
      <c r="L5">
        <v>0</v>
      </c>
      <c r="M5">
        <v>0</v>
      </c>
      <c r="N5">
        <v>49.938605149213771</v>
      </c>
    </row>
    <row r="6" spans="1:14" x14ac:dyDescent="0.25">
      <c r="A6" s="3">
        <v>5.8000000000000003E-2</v>
      </c>
      <c r="B6" s="59">
        <v>1.95371E-3</v>
      </c>
      <c r="C6" s="1">
        <f t="shared" si="1"/>
        <v>1.0895583923985323E-3</v>
      </c>
      <c r="D6" s="2">
        <f t="shared" si="0"/>
        <v>7.4675800092020103E-7</v>
      </c>
      <c r="E6" s="1">
        <f t="shared" si="2"/>
        <v>5.5364677823696479E-9</v>
      </c>
      <c r="F6" s="1">
        <f t="shared" si="3"/>
        <v>1.08955285593075E-3</v>
      </c>
    </row>
    <row r="7" spans="1:14" x14ac:dyDescent="0.25">
      <c r="A7" s="3">
        <v>6.4000000000000001E-2</v>
      </c>
      <c r="B7" s="59">
        <v>3.6345499999999998E-3</v>
      </c>
      <c r="C7" s="1">
        <f t="shared" si="1"/>
        <v>1.2404649679020334E-3</v>
      </c>
      <c r="D7" s="2">
        <f t="shared" si="0"/>
        <v>5.7316431409155212E-6</v>
      </c>
      <c r="E7" s="1">
        <f t="shared" si="2"/>
        <v>1.2329827254284796E-8</v>
      </c>
      <c r="F7" s="1">
        <f t="shared" si="3"/>
        <v>1.2404526380747792E-3</v>
      </c>
      <c r="J7" t="s">
        <v>40</v>
      </c>
      <c r="K7">
        <f>2^K4</f>
        <v>6.9933600997710679</v>
      </c>
      <c r="M7" t="s">
        <v>40</v>
      </c>
      <c r="N7">
        <f>N5*(((N4-1)/N4)^(1/N4))</f>
        <v>39.139777678052646</v>
      </c>
    </row>
    <row r="8" spans="1:14" x14ac:dyDescent="0.25">
      <c r="A8" s="3">
        <v>7.0000000000000007E-2</v>
      </c>
      <c r="B8" s="59">
        <v>5.6780499999999996E-3</v>
      </c>
      <c r="C8" s="1">
        <f t="shared" si="1"/>
        <v>1.3959445581222165E-3</v>
      </c>
      <c r="D8" s="2">
        <f t="shared" si="0"/>
        <v>1.8336427015359323E-5</v>
      </c>
      <c r="E8" s="1">
        <f t="shared" si="2"/>
        <v>2.5189693278783422E-8</v>
      </c>
      <c r="F8" s="1">
        <f t="shared" si="3"/>
        <v>1.3959193684289378E-3</v>
      </c>
    </row>
    <row r="9" spans="1:14" x14ac:dyDescent="0.25">
      <c r="A9" s="3">
        <v>7.6999999999999999E-2</v>
      </c>
      <c r="B9" s="59">
        <v>7.7367299999999998E-3</v>
      </c>
      <c r="C9" s="1">
        <f t="shared" si="1"/>
        <v>1.5827622962677553E-3</v>
      </c>
      <c r="D9" s="2">
        <f t="shared" si="0"/>
        <v>3.7871318498579511E-5</v>
      </c>
      <c r="E9" s="1">
        <f t="shared" si="2"/>
        <v>5.3046180031618147E-8</v>
      </c>
      <c r="F9" s="1">
        <f t="shared" si="3"/>
        <v>1.5827092500877236E-3</v>
      </c>
    </row>
    <row r="10" spans="1:14" x14ac:dyDescent="0.25">
      <c r="A10" s="3">
        <v>8.4000000000000005E-2</v>
      </c>
      <c r="B10" s="59">
        <v>9.8101400000000002E-3</v>
      </c>
      <c r="C10" s="1">
        <f t="shared" si="1"/>
        <v>1.7750813475590427E-3</v>
      </c>
      <c r="D10" s="2">
        <f t="shared" si="0"/>
        <v>6.4562167548166282E-5</v>
      </c>
      <c r="E10" s="1">
        <f t="shared" si="2"/>
        <v>1.0328004027982622E-7</v>
      </c>
      <c r="F10" s="1">
        <f t="shared" si="3"/>
        <v>1.7749780675187629E-3</v>
      </c>
      <c r="J10" t="s">
        <v>43</v>
      </c>
      <c r="K10">
        <f>D102</f>
        <v>4.7865558309122425E-13</v>
      </c>
    </row>
    <row r="11" spans="1:14" x14ac:dyDescent="0.25">
      <c r="A11" s="3">
        <v>9.2999999999999999E-2</v>
      </c>
      <c r="B11" s="59">
        <v>1.2145700000000001E-2</v>
      </c>
      <c r="C11" s="1">
        <f t="shared" si="1"/>
        <v>2.0299485839600697E-3</v>
      </c>
      <c r="D11" s="2">
        <f t="shared" si="0"/>
        <v>1.0232842671111387E-4</v>
      </c>
      <c r="E11" s="1">
        <f t="shared" si="2"/>
        <v>2.2148598598942077E-7</v>
      </c>
      <c r="F11" s="1">
        <f t="shared" si="3"/>
        <v>2.0297270979740801E-3</v>
      </c>
    </row>
    <row r="12" spans="1:14" x14ac:dyDescent="0.25">
      <c r="A12" s="3">
        <v>0.10199999999999999</v>
      </c>
      <c r="B12" s="59">
        <v>1.47198E-2</v>
      </c>
      <c r="C12" s="1">
        <f t="shared" si="1"/>
        <v>2.2928750984702443E-3</v>
      </c>
      <c r="D12" s="2">
        <f t="shared" si="0"/>
        <v>1.5442846250826033E-4</v>
      </c>
      <c r="E12" s="1">
        <f t="shared" si="2"/>
        <v>4.3588074113095119E-7</v>
      </c>
      <c r="F12" s="1">
        <f t="shared" si="3"/>
        <v>2.2924392177291132E-3</v>
      </c>
    </row>
    <row r="13" spans="1:14" x14ac:dyDescent="0.25">
      <c r="A13" s="3">
        <v>0.112</v>
      </c>
      <c r="B13" s="59">
        <v>1.7276199999999999E-2</v>
      </c>
      <c r="C13" s="1">
        <f t="shared" si="1"/>
        <v>2.5939426150680292E-3</v>
      </c>
      <c r="D13" s="2">
        <f t="shared" si="0"/>
        <v>2.1556868191738933E-4</v>
      </c>
      <c r="E13" s="1">
        <f t="shared" si="2"/>
        <v>8.5228343205615946E-7</v>
      </c>
      <c r="F13" s="1">
        <f t="shared" si="3"/>
        <v>2.5930903316359732E-3</v>
      </c>
    </row>
    <row r="14" spans="1:14" x14ac:dyDescent="0.25">
      <c r="A14" s="3">
        <v>0.122</v>
      </c>
      <c r="B14" s="59">
        <v>1.98026E-2</v>
      </c>
      <c r="C14" s="1">
        <f t="shared" si="1"/>
        <v>2.9039530264486483E-3</v>
      </c>
      <c r="D14" s="2">
        <f t="shared" si="0"/>
        <v>2.8556426953671622E-4</v>
      </c>
      <c r="E14" s="1">
        <f t="shared" si="2"/>
        <v>1.5530176631290878E-6</v>
      </c>
      <c r="F14" s="1">
        <f t="shared" si="3"/>
        <v>2.902400008785519E-3</v>
      </c>
    </row>
    <row r="15" spans="1:14" x14ac:dyDescent="0.25">
      <c r="A15" s="3">
        <v>0.13400000000000001</v>
      </c>
      <c r="B15" s="59">
        <v>2.25753E-2</v>
      </c>
      <c r="C15" s="1">
        <f t="shared" si="1"/>
        <v>3.2872695894367548E-3</v>
      </c>
      <c r="D15" s="2">
        <f t="shared" si="0"/>
        <v>3.7202811711881253E-4</v>
      </c>
      <c r="E15" s="1">
        <f t="shared" si="2"/>
        <v>2.9565396449349285E-6</v>
      </c>
      <c r="F15" s="1">
        <f t="shared" si="3"/>
        <v>3.28431304979182E-3</v>
      </c>
    </row>
    <row r="16" spans="1:14" x14ac:dyDescent="0.25">
      <c r="A16" s="3">
        <v>0.14799999999999999</v>
      </c>
      <c r="B16" s="59">
        <v>2.5706099999999999E-2</v>
      </c>
      <c r="C16" s="1">
        <f t="shared" si="1"/>
        <v>3.7495279305782029E-3</v>
      </c>
      <c r="D16" s="2">
        <f t="shared" si="0"/>
        <v>4.8209105703971331E-4</v>
      </c>
      <c r="E16" s="1">
        <f t="shared" si="2"/>
        <v>5.7516705177463199E-6</v>
      </c>
      <c r="F16" s="1">
        <f t="shared" si="3"/>
        <v>3.7437762600604566E-3</v>
      </c>
    </row>
    <row r="17" spans="1:32" x14ac:dyDescent="0.25">
      <c r="A17" s="3">
        <v>0.16200000000000001</v>
      </c>
      <c r="B17" s="59">
        <v>2.9057199999999998E-2</v>
      </c>
      <c r="C17" s="1">
        <f t="shared" si="1"/>
        <v>4.2276540579996944E-3</v>
      </c>
      <c r="D17" s="2">
        <f t="shared" si="0"/>
        <v>6.1650635168590388E-4</v>
      </c>
      <c r="E17" s="1">
        <f t="shared" si="2"/>
        <v>1.0381887081845959E-5</v>
      </c>
      <c r="F17" s="1">
        <f t="shared" si="3"/>
        <v>4.2172721709178487E-3</v>
      </c>
    </row>
    <row r="18" spans="1:32" x14ac:dyDescent="0.25">
      <c r="A18" s="3">
        <v>0.17799999999999999</v>
      </c>
      <c r="B18" s="59">
        <v>3.2605099999999998E-2</v>
      </c>
      <c r="C18" s="1">
        <f t="shared" si="1"/>
        <v>4.7934463096377293E-3</v>
      </c>
      <c r="D18" s="2">
        <f t="shared" si="0"/>
        <v>7.7348808099264121E-4</v>
      </c>
      <c r="E18" s="1">
        <f t="shared" si="2"/>
        <v>1.8926809393955679E-5</v>
      </c>
      <c r="F18" s="1">
        <f t="shared" si="3"/>
        <v>4.774519500243774E-3</v>
      </c>
    </row>
    <row r="19" spans="1:32" x14ac:dyDescent="0.25">
      <c r="A19" s="3">
        <v>0.19500000000000001</v>
      </c>
      <c r="B19" s="59">
        <v>3.6715699999999997E-2</v>
      </c>
      <c r="C19" s="1">
        <f t="shared" si="1"/>
        <v>5.4176470967481904E-3</v>
      </c>
      <c r="D19" s="2">
        <f t="shared" si="0"/>
        <v>9.7956811553474876E-4</v>
      </c>
      <c r="E19" s="1">
        <f t="shared" si="2"/>
        <v>3.3369824169296718E-5</v>
      </c>
      <c r="F19" s="1">
        <f t="shared" si="3"/>
        <v>5.3842772725788942E-3</v>
      </c>
    </row>
    <row r="20" spans="1:32" ht="15.75" thickBot="1" x14ac:dyDescent="0.3">
      <c r="A20" s="3">
        <v>0.214</v>
      </c>
      <c r="B20" s="59">
        <v>4.1583799999999997E-2</v>
      </c>
      <c r="C20" s="1">
        <f t="shared" si="1"/>
        <v>6.1446226141354914E-3</v>
      </c>
      <c r="D20" s="2">
        <f t="shared" si="0"/>
        <v>1.2559352937867704E-3</v>
      </c>
      <c r="E20" s="1">
        <f t="shared" si="2"/>
        <v>5.8614688080330931E-5</v>
      </c>
      <c r="F20" s="1">
        <f t="shared" si="3"/>
        <v>6.0860079260551606E-3</v>
      </c>
    </row>
    <row r="21" spans="1:32" x14ac:dyDescent="0.25">
      <c r="A21" s="3">
        <v>0.23499999999999999</v>
      </c>
      <c r="B21" s="59">
        <v>4.7156099999999999E-2</v>
      </c>
      <c r="C21" s="1">
        <f t="shared" si="1"/>
        <v>6.9867513964748723E-3</v>
      </c>
      <c r="D21" s="2">
        <f t="shared" si="0"/>
        <v>1.6135765672315261E-3</v>
      </c>
      <c r="E21" s="1">
        <f t="shared" si="2"/>
        <v>1.0181712915365684E-4</v>
      </c>
      <c r="F21" s="1">
        <f t="shared" si="3"/>
        <v>6.8849342673212152E-3</v>
      </c>
      <c r="Z21" s="72"/>
      <c r="AA21" s="127"/>
      <c r="AB21" s="127"/>
      <c r="AC21" s="127"/>
      <c r="AD21" s="127"/>
      <c r="AE21" s="127"/>
      <c r="AF21" s="73"/>
    </row>
    <row r="22" spans="1:32" ht="26.25" x14ac:dyDescent="0.4">
      <c r="A22" s="3">
        <v>0.25800000000000001</v>
      </c>
      <c r="B22" s="59">
        <v>5.3245199999999999E-2</v>
      </c>
      <c r="C22" s="1">
        <f t="shared" si="1"/>
        <v>7.9603131232759347E-3</v>
      </c>
      <c r="D22" s="2">
        <f t="shared" si="0"/>
        <v>2.0507209794376952E-3</v>
      </c>
      <c r="E22" s="1">
        <f t="shared" si="2"/>
        <v>1.7399258260147087E-4</v>
      </c>
      <c r="F22" s="1">
        <f t="shared" si="3"/>
        <v>7.7863205406744638E-3</v>
      </c>
      <c r="Z22" s="74"/>
      <c r="AA22" s="152" t="s">
        <v>57</v>
      </c>
      <c r="AB22" s="128"/>
      <c r="AC22" s="128"/>
      <c r="AD22" s="128"/>
      <c r="AE22" s="128"/>
      <c r="AF22" s="75"/>
    </row>
    <row r="23" spans="1:32" ht="15.75" thickBot="1" x14ac:dyDescent="0.3">
      <c r="A23" s="3">
        <v>0.28399999999999997</v>
      </c>
      <c r="B23" s="59">
        <v>6.0146499999999999E-2</v>
      </c>
      <c r="C23" s="1">
        <f t="shared" si="1"/>
        <v>9.1336078627266941E-3</v>
      </c>
      <c r="D23" s="2">
        <f t="shared" si="0"/>
        <v>2.6023151642090808E-3</v>
      </c>
      <c r="E23" s="1">
        <f t="shared" si="2"/>
        <v>2.9720105803938767E-4</v>
      </c>
      <c r="F23" s="1">
        <f t="shared" si="3"/>
        <v>8.8364068046873061E-3</v>
      </c>
      <c r="Z23" s="76"/>
      <c r="AA23" s="129"/>
      <c r="AB23" s="129"/>
      <c r="AC23" s="129"/>
      <c r="AD23" s="129"/>
      <c r="AE23" s="129"/>
      <c r="AF23" s="77"/>
    </row>
    <row r="24" spans="1:32" x14ac:dyDescent="0.25">
      <c r="A24" s="3">
        <v>0.311</v>
      </c>
      <c r="B24" s="59">
        <v>6.7653000000000005E-2</v>
      </c>
      <c r="C24" s="1">
        <f t="shared" si="1"/>
        <v>1.0445722174751065E-2</v>
      </c>
      <c r="D24" s="2">
        <f t="shared" si="0"/>
        <v>3.2726726361752192E-3</v>
      </c>
      <c r="E24" s="1">
        <f t="shared" si="2"/>
        <v>4.8603601631683901E-4</v>
      </c>
      <c r="F24" s="1">
        <f t="shared" si="3"/>
        <v>9.9596861584342264E-3</v>
      </c>
    </row>
    <row r="25" spans="1:32" x14ac:dyDescent="0.25">
      <c r="A25" s="3">
        <v>0.34200000000000003</v>
      </c>
      <c r="B25" s="59">
        <v>7.5715199999999996E-2</v>
      </c>
      <c r="C25" s="1">
        <f t="shared" si="1"/>
        <v>1.2088953834653769E-2</v>
      </c>
      <c r="D25" s="2">
        <f t="shared" si="0"/>
        <v>4.0482992010932367E-3</v>
      </c>
      <c r="E25" s="1">
        <f t="shared" si="2"/>
        <v>8.009184648044411E-4</v>
      </c>
      <c r="F25" s="1">
        <f t="shared" si="3"/>
        <v>1.1288035369849328E-2</v>
      </c>
    </row>
    <row r="26" spans="1:32" x14ac:dyDescent="0.25">
      <c r="A26" s="5">
        <v>0.375</v>
      </c>
      <c r="B26" s="59">
        <v>8.42913E-2</v>
      </c>
      <c r="C26" s="1">
        <f t="shared" si="1"/>
        <v>1.4025455368628148E-2</v>
      </c>
      <c r="D26" s="2">
        <f t="shared" si="0"/>
        <v>4.9372889217600881E-3</v>
      </c>
      <c r="E26" s="1">
        <f t="shared" si="2"/>
        <v>1.2807459659178349E-3</v>
      </c>
      <c r="F26" s="1">
        <f t="shared" si="3"/>
        <v>1.2744709402710313E-2</v>
      </c>
    </row>
    <row r="27" spans="1:32" x14ac:dyDescent="0.25">
      <c r="A27" s="5">
        <v>0.41199999999999998</v>
      </c>
      <c r="B27" s="59">
        <v>9.4087599999999993E-2</v>
      </c>
      <c r="C27" s="1">
        <f t="shared" si="1"/>
        <v>1.6464960008235337E-2</v>
      </c>
      <c r="D27" s="2">
        <f t="shared" si="0"/>
        <v>6.0252742392911032E-3</v>
      </c>
      <c r="E27" s="1">
        <f t="shared" si="2"/>
        <v>2.0379790904894502E-3</v>
      </c>
      <c r="F27" s="1">
        <f t="shared" si="3"/>
        <v>1.4426980917745885E-2</v>
      </c>
    </row>
    <row r="28" spans="1:32" x14ac:dyDescent="0.25">
      <c r="A28" s="5">
        <v>0.45200000000000001</v>
      </c>
      <c r="B28" s="59">
        <v>0.105142</v>
      </c>
      <c r="C28" s="1">
        <f t="shared" si="1"/>
        <v>1.9472924158688808E-2</v>
      </c>
      <c r="D28" s="2">
        <f t="shared" si="0"/>
        <v>7.3391905555043298E-3</v>
      </c>
      <c r="E28" s="1">
        <f t="shared" si="2"/>
        <v>3.1725518051956354E-3</v>
      </c>
      <c r="F28" s="1">
        <f t="shared" si="3"/>
        <v>1.6300372353493173E-2</v>
      </c>
    </row>
    <row r="29" spans="1:32" x14ac:dyDescent="0.25">
      <c r="A29" s="5">
        <v>0.496</v>
      </c>
      <c r="B29" s="59">
        <v>0.117366</v>
      </c>
      <c r="C29" s="1">
        <f t="shared" si="1"/>
        <v>2.3294483633211294E-2</v>
      </c>
      <c r="D29" s="2">
        <f t="shared" si="0"/>
        <v>8.8494501915469953E-3</v>
      </c>
      <c r="E29" s="1">
        <f t="shared" si="2"/>
        <v>4.8717680221091117E-3</v>
      </c>
      <c r="F29" s="1">
        <f t="shared" si="3"/>
        <v>1.8422715611102182E-2</v>
      </c>
    </row>
    <row r="30" spans="1:32" x14ac:dyDescent="0.25">
      <c r="A30" s="5">
        <v>0.54500000000000004</v>
      </c>
      <c r="B30" s="59">
        <v>0.130638</v>
      </c>
      <c r="C30" s="1">
        <f t="shared" si="1"/>
        <v>2.8271291340264793E-2</v>
      </c>
      <c r="D30" s="2">
        <f t="shared" si="0"/>
        <v>1.0478943041827109E-2</v>
      </c>
      <c r="E30" s="1">
        <f t="shared" si="2"/>
        <v>7.413783421689437E-3</v>
      </c>
      <c r="F30" s="1">
        <f t="shared" si="3"/>
        <v>2.0857507918575355E-2</v>
      </c>
    </row>
    <row r="31" spans="1:32" x14ac:dyDescent="0.25">
      <c r="A31" s="5">
        <v>0.59799999999999998</v>
      </c>
      <c r="B31" s="59">
        <v>0.14543600000000001</v>
      </c>
      <c r="C31" s="1">
        <f t="shared" si="1"/>
        <v>3.4616537957402604E-2</v>
      </c>
      <c r="D31" s="2">
        <f t="shared" si="0"/>
        <v>1.2280953167410687E-2</v>
      </c>
      <c r="E31" s="1">
        <f t="shared" si="2"/>
        <v>1.1046152015068259E-2</v>
      </c>
      <c r="F31" s="1">
        <f t="shared" si="3"/>
        <v>2.3570385942334342E-2</v>
      </c>
    </row>
    <row r="32" spans="1:32" x14ac:dyDescent="0.25">
      <c r="A32" s="5">
        <v>0.65600000000000003</v>
      </c>
      <c r="B32" s="59">
        <v>0.16197600000000001</v>
      </c>
      <c r="C32" s="1">
        <f t="shared" si="1"/>
        <v>4.2829282015294137E-2</v>
      </c>
      <c r="D32" s="2">
        <f t="shared" si="0"/>
        <v>1.4195940406527033E-2</v>
      </c>
      <c r="E32" s="1">
        <f t="shared" si="2"/>
        <v>1.6201448252133946E-2</v>
      </c>
      <c r="F32" s="1">
        <f t="shared" si="3"/>
        <v>2.6627833763160195E-2</v>
      </c>
    </row>
    <row r="33" spans="1:6" x14ac:dyDescent="0.25">
      <c r="A33" s="5">
        <v>0.72099999999999997</v>
      </c>
      <c r="B33" s="59">
        <v>0.18030499999999999</v>
      </c>
      <c r="C33" s="1">
        <f t="shared" si="1"/>
        <v>5.3748488061044646E-2</v>
      </c>
      <c r="D33" s="2">
        <f t="shared" si="0"/>
        <v>1.6016550714154944E-2</v>
      </c>
      <c r="E33" s="1">
        <f t="shared" si="2"/>
        <v>2.3590940198079065E-2</v>
      </c>
      <c r="F33" s="1">
        <f t="shared" si="3"/>
        <v>3.0157547862965581E-2</v>
      </c>
    </row>
    <row r="34" spans="1:6" x14ac:dyDescent="0.25">
      <c r="A34" s="5">
        <v>0.79100000000000004</v>
      </c>
      <c r="B34" s="59">
        <v>0.20042699999999999</v>
      </c>
      <c r="C34" s="1">
        <f t="shared" si="1"/>
        <v>6.7673104712464738E-2</v>
      </c>
      <c r="D34" s="2">
        <f t="shared" ref="D34:D65" si="4">(B34-C34)^2</f>
        <v>1.7623596714013874E-2</v>
      </c>
      <c r="E34" s="1">
        <f t="shared" si="2"/>
        <v>3.3599820744120504E-2</v>
      </c>
      <c r="F34" s="1">
        <f t="shared" si="3"/>
        <v>3.4073283968344241E-2</v>
      </c>
    </row>
    <row r="35" spans="1:6" x14ac:dyDescent="0.25">
      <c r="A35" s="5">
        <v>0.86799999999999999</v>
      </c>
      <c r="B35" s="59">
        <v>0.222694</v>
      </c>
      <c r="C35" s="1">
        <f t="shared" si="1"/>
        <v>8.5704643332913541E-2</v>
      </c>
      <c r="D35" s="2">
        <f t="shared" si="4"/>
        <v>1.8766083840062224E-2</v>
      </c>
      <c r="E35" s="1">
        <f t="shared" si="2"/>
        <v>4.7195397109080495E-2</v>
      </c>
      <c r="F35" s="1">
        <f t="shared" si="3"/>
        <v>3.8509246223833046E-2</v>
      </c>
    </row>
    <row r="36" spans="1:6" x14ac:dyDescent="0.25">
      <c r="A36" s="5">
        <v>0.95299999999999996</v>
      </c>
      <c r="B36" s="59">
        <v>0.247693</v>
      </c>
      <c r="C36" s="1">
        <f t="shared" si="1"/>
        <v>0.10898967484538202</v>
      </c>
      <c r="D36" s="2">
        <f t="shared" si="4"/>
        <v>1.923861240894768E-2</v>
      </c>
      <c r="E36" s="1">
        <f t="shared" si="2"/>
        <v>6.5436755244914283E-2</v>
      </c>
      <c r="F36" s="1">
        <f t="shared" si="3"/>
        <v>4.355291960046774E-2</v>
      </c>
    </row>
    <row r="37" spans="1:6" x14ac:dyDescent="0.25">
      <c r="A37" s="6">
        <v>1.0469999999999999</v>
      </c>
      <c r="B37" s="59">
        <v>0.27608199999999999</v>
      </c>
      <c r="C37" s="1">
        <f t="shared" si="1"/>
        <v>0.13886789784497333</v>
      </c>
      <c r="D37" s="2">
        <f t="shared" si="4"/>
        <v>1.8827709830210093E-2</v>
      </c>
      <c r="E37" s="1">
        <f t="shared" si="2"/>
        <v>8.9569016216112129E-2</v>
      </c>
      <c r="F37" s="1">
        <f t="shared" si="3"/>
        <v>4.9298881628861216E-2</v>
      </c>
    </row>
    <row r="38" spans="1:6" x14ac:dyDescent="0.25">
      <c r="A38" s="6">
        <v>1.149</v>
      </c>
      <c r="B38" s="59">
        <v>0.30856699999999998</v>
      </c>
      <c r="C38" s="1">
        <f t="shared" si="1"/>
        <v>0.17606300557836566</v>
      </c>
      <c r="D38" s="2">
        <f t="shared" si="4"/>
        <v>1.7557308537688499E-2</v>
      </c>
      <c r="E38" s="1">
        <f t="shared" si="2"/>
        <v>0.12034169420582741</v>
      </c>
      <c r="F38" s="1">
        <f t="shared" si="3"/>
        <v>5.5721311372538239E-2</v>
      </c>
    </row>
    <row r="39" spans="1:6" x14ac:dyDescent="0.25">
      <c r="A39" s="6">
        <v>1.2609999999999999</v>
      </c>
      <c r="B39" s="59">
        <v>0.34587600000000002</v>
      </c>
      <c r="C39" s="1">
        <f t="shared" si="1"/>
        <v>0.22231576034460923</v>
      </c>
      <c r="D39" s="2">
        <f t="shared" si="4"/>
        <v>1.5267132823697606E-2</v>
      </c>
      <c r="E39" s="1">
        <f t="shared" si="2"/>
        <v>0.15933165648474718</v>
      </c>
      <c r="F39" s="1">
        <f t="shared" si="3"/>
        <v>6.2984103859862056E-2</v>
      </c>
    </row>
    <row r="40" spans="1:6" x14ac:dyDescent="0.25">
      <c r="A40" s="6">
        <v>1.3839999999999999</v>
      </c>
      <c r="B40" s="59">
        <v>0.38927600000000001</v>
      </c>
      <c r="C40" s="1">
        <f t="shared" si="1"/>
        <v>0.27908055104453006</v>
      </c>
      <c r="D40" s="2">
        <f t="shared" si="4"/>
        <v>1.2143036970497584E-2</v>
      </c>
      <c r="E40" s="1">
        <f t="shared" si="2"/>
        <v>0.20788206849248761</v>
      </c>
      <c r="F40" s="1">
        <f t="shared" si="3"/>
        <v>7.1198482552042447E-2</v>
      </c>
    </row>
    <row r="41" spans="1:6" x14ac:dyDescent="0.25">
      <c r="A41" s="6">
        <v>1.52</v>
      </c>
      <c r="B41" s="59">
        <v>0.440442</v>
      </c>
      <c r="C41" s="1">
        <f t="shared" si="1"/>
        <v>0.34824227008419539</v>
      </c>
      <c r="D41" s="2">
        <f t="shared" si="4"/>
        <v>8.5007901965473143E-3</v>
      </c>
      <c r="E41" s="1">
        <f t="shared" si="2"/>
        <v>0.26768906455435648</v>
      </c>
      <c r="F41" s="1">
        <f t="shared" si="3"/>
        <v>8.0553205529838939E-2</v>
      </c>
    </row>
    <row r="42" spans="1:6" x14ac:dyDescent="0.25">
      <c r="A42" s="6">
        <v>1.6679999999999999</v>
      </c>
      <c r="B42" s="59">
        <v>0.50163100000000005</v>
      </c>
      <c r="C42" s="1">
        <f t="shared" si="1"/>
        <v>0.42990421320634747</v>
      </c>
      <c r="D42" s="2">
        <f t="shared" si="4"/>
        <v>5.1447319437420936E-3</v>
      </c>
      <c r="E42" s="1">
        <f t="shared" si="2"/>
        <v>0.33886654475515199</v>
      </c>
      <c r="F42" s="1">
        <f t="shared" si="3"/>
        <v>9.10376684511955E-2</v>
      </c>
    </row>
    <row r="43" spans="1:6" x14ac:dyDescent="0.25">
      <c r="A43" s="6">
        <v>1.8320000000000001</v>
      </c>
      <c r="B43" s="59">
        <v>0.57504999999999995</v>
      </c>
      <c r="C43" s="1">
        <f t="shared" si="1"/>
        <v>0.52651238312292137</v>
      </c>
      <c r="D43" s="2">
        <f t="shared" si="4"/>
        <v>2.3559002521060636E-3</v>
      </c>
      <c r="E43" s="1">
        <f t="shared" si="2"/>
        <v>0.42350981373521468</v>
      </c>
      <c r="F43" s="1">
        <f t="shared" si="3"/>
        <v>0.1030025693877067</v>
      </c>
    </row>
    <row r="44" spans="1:6" x14ac:dyDescent="0.25">
      <c r="A44" s="6">
        <v>2.0110000000000001</v>
      </c>
      <c r="B44" s="59">
        <v>0.662906</v>
      </c>
      <c r="C44" s="1">
        <f t="shared" si="1"/>
        <v>0.63720160335121867</v>
      </c>
      <c r="D44" s="2">
        <f t="shared" si="4"/>
        <v>6.6071600707788059E-4</v>
      </c>
      <c r="E44" s="1">
        <f t="shared" si="2"/>
        <v>0.52074994833266453</v>
      </c>
      <c r="F44" s="1">
        <f t="shared" si="3"/>
        <v>0.11645165501855409</v>
      </c>
    </row>
    <row r="45" spans="1:6" x14ac:dyDescent="0.25">
      <c r="A45" s="6">
        <v>2.2069999999999999</v>
      </c>
      <c r="B45" s="59">
        <v>0.76683800000000002</v>
      </c>
      <c r="C45" s="1">
        <f t="shared" si="1"/>
        <v>0.76218311330903155</v>
      </c>
      <c r="D45" s="2">
        <f t="shared" si="4"/>
        <v>2.1667970105755429E-5</v>
      </c>
      <c r="E45" s="1">
        <f t="shared" si="2"/>
        <v>0.63056835321890226</v>
      </c>
      <c r="F45" s="1">
        <f t="shared" si="3"/>
        <v>0.13161476009012932</v>
      </c>
    </row>
    <row r="46" spans="1:6" x14ac:dyDescent="0.25">
      <c r="A46" s="6">
        <v>2.423</v>
      </c>
      <c r="B46" s="59">
        <v>0.88772899999999999</v>
      </c>
      <c r="C46" s="1">
        <f t="shared" si="1"/>
        <v>0.90163064195289433</v>
      </c>
      <c r="D46" s="2">
        <f t="shared" si="4"/>
        <v>1.9325564898647194E-4</v>
      </c>
      <c r="E46" s="1">
        <f t="shared" si="2"/>
        <v>0.75281094867544218</v>
      </c>
      <c r="F46" s="1">
        <f t="shared" si="3"/>
        <v>0.14881969327745218</v>
      </c>
    </row>
    <row r="47" spans="1:6" x14ac:dyDescent="0.25">
      <c r="A47" s="6">
        <v>2.66</v>
      </c>
      <c r="B47" s="59">
        <v>1.02521</v>
      </c>
      <c r="C47" s="1">
        <f t="shared" si="1"/>
        <v>1.05359240984889</v>
      </c>
      <c r="D47" s="2">
        <f t="shared" si="4"/>
        <v>8.0556118883037191E-4</v>
      </c>
      <c r="E47" s="1">
        <f t="shared" si="2"/>
        <v>0.88533749079970558</v>
      </c>
      <c r="F47" s="1">
        <f t="shared" si="3"/>
        <v>0.16825491904918433</v>
      </c>
    </row>
    <row r="48" spans="1:6" x14ac:dyDescent="0.25">
      <c r="A48" s="6">
        <v>2.92</v>
      </c>
      <c r="B48" s="59">
        <v>1.1773400000000001</v>
      </c>
      <c r="C48" s="1">
        <f t="shared" si="1"/>
        <v>1.2158681971443468</v>
      </c>
      <c r="D48" s="2">
        <f t="shared" si="4"/>
        <v>1.4844219751936486E-3</v>
      </c>
      <c r="E48" s="1">
        <f t="shared" si="2"/>
        <v>1.0256654266342375</v>
      </c>
      <c r="F48" s="1">
        <f t="shared" si="3"/>
        <v>0.19020277051010925</v>
      </c>
    </row>
    <row r="49" spans="1:6" x14ac:dyDescent="0.25">
      <c r="A49" s="6">
        <v>3.2050000000000001</v>
      </c>
      <c r="B49" s="59">
        <v>1.34076</v>
      </c>
      <c r="C49" s="1">
        <f t="shared" si="1"/>
        <v>1.3854071463391486</v>
      </c>
      <c r="D49" s="2">
        <f t="shared" si="4"/>
        <v>1.9933676762293575E-3</v>
      </c>
      <c r="E49" s="1">
        <f t="shared" si="2"/>
        <v>1.1704439846242369</v>
      </c>
      <c r="F49" s="1">
        <f t="shared" si="3"/>
        <v>0.21496316171491173</v>
      </c>
    </row>
    <row r="50" spans="1:6" x14ac:dyDescent="0.25">
      <c r="A50" s="6">
        <v>3.5190000000000001</v>
      </c>
      <c r="B50" s="59">
        <v>1.5111300000000001</v>
      </c>
      <c r="C50" s="1">
        <f t="shared" si="1"/>
        <v>1.5594971505462958</v>
      </c>
      <c r="D50" s="2">
        <f t="shared" si="4"/>
        <v>2.3393812519680326E-3</v>
      </c>
      <c r="E50" s="1">
        <f t="shared" si="2"/>
        <v>1.3164626139708626</v>
      </c>
      <c r="F50" s="1">
        <f t="shared" si="3"/>
        <v>0.2430345365754332</v>
      </c>
    </row>
    <row r="51" spans="1:6" x14ac:dyDescent="0.25">
      <c r="A51" s="6">
        <v>3.863</v>
      </c>
      <c r="B51" s="59">
        <v>1.6837899999999999</v>
      </c>
      <c r="C51" s="1">
        <f t="shared" si="1"/>
        <v>1.733061625121153</v>
      </c>
      <c r="D51" s="2">
        <f t="shared" si="4"/>
        <v>2.4276930420794479E-3</v>
      </c>
      <c r="E51" s="1">
        <f t="shared" si="2"/>
        <v>1.4583888037748165</v>
      </c>
      <c r="F51" s="1">
        <f t="shared" si="3"/>
        <v>0.27467282134633647</v>
      </c>
    </row>
    <row r="52" spans="1:6" x14ac:dyDescent="0.25">
      <c r="A52" s="6">
        <v>4.24</v>
      </c>
      <c r="B52" s="59">
        <v>1.85372</v>
      </c>
      <c r="C52" s="1">
        <f t="shared" si="1"/>
        <v>1.9018235404186725</v>
      </c>
      <c r="D52" s="2">
        <f t="shared" si="4"/>
        <v>2.3139506008108576E-3</v>
      </c>
      <c r="E52" s="1">
        <f t="shared" si="2"/>
        <v>1.5914925901543202</v>
      </c>
      <c r="F52" s="1">
        <f t="shared" si="3"/>
        <v>0.31033095026435226</v>
      </c>
    </row>
    <row r="53" spans="1:6" x14ac:dyDescent="0.25">
      <c r="A53" s="6">
        <v>4.6550000000000002</v>
      </c>
      <c r="B53" s="59">
        <v>2.0157400000000001</v>
      </c>
      <c r="C53" s="1">
        <f t="shared" si="1"/>
        <v>2.0621040700441289</v>
      </c>
      <c r="D53" s="2">
        <f t="shared" si="4"/>
        <v>2.1496269910568806E-3</v>
      </c>
      <c r="E53" s="1">
        <f t="shared" si="2"/>
        <v>1.7114208211234256</v>
      </c>
      <c r="F53" s="1">
        <f t="shared" si="3"/>
        <v>0.35068324892070307</v>
      </c>
    </row>
    <row r="54" spans="1:6" x14ac:dyDescent="0.25">
      <c r="A54" s="6">
        <v>5.1100000000000003</v>
      </c>
      <c r="B54" s="59">
        <v>2.1648999999999998</v>
      </c>
      <c r="C54" s="1">
        <f t="shared" si="1"/>
        <v>2.2090980890541028</v>
      </c>
      <c r="D54" s="2">
        <f t="shared" si="4"/>
        <v>1.953471076034414E-3</v>
      </c>
      <c r="E54" s="1">
        <f t="shared" si="2"/>
        <v>1.8129543993183799</v>
      </c>
      <c r="F54" s="1">
        <f t="shared" si="3"/>
        <v>0.39614368973572267</v>
      </c>
    </row>
    <row r="55" spans="1:6" x14ac:dyDescent="0.25">
      <c r="A55" s="6">
        <v>5.61</v>
      </c>
      <c r="B55" s="59">
        <v>2.29806</v>
      </c>
      <c r="C55" s="1">
        <f t="shared" si="1"/>
        <v>2.3395947198461648</v>
      </c>
      <c r="D55" s="2">
        <f t="shared" si="4"/>
        <v>1.725132952699401E-3</v>
      </c>
      <c r="E55" s="1">
        <f t="shared" si="2"/>
        <v>1.8921491850218179</v>
      </c>
      <c r="F55" s="1">
        <f t="shared" si="3"/>
        <v>0.44744553482434696</v>
      </c>
    </row>
    <row r="56" spans="1:6" x14ac:dyDescent="0.25">
      <c r="A56" s="6">
        <v>6.1580000000000004</v>
      </c>
      <c r="B56" s="59">
        <v>2.4144299999999999</v>
      </c>
      <c r="C56" s="1">
        <f t="shared" si="1"/>
        <v>2.4505911294854248</v>
      </c>
      <c r="D56" s="2">
        <f t="shared" si="4"/>
        <v>1.3076272856616688E-3</v>
      </c>
      <c r="E56" s="1">
        <f t="shared" si="2"/>
        <v>1.9454481070287024</v>
      </c>
      <c r="F56" s="1">
        <f t="shared" si="3"/>
        <v>0.50514302245672249</v>
      </c>
    </row>
    <row r="57" spans="1:6" x14ac:dyDescent="0.25">
      <c r="A57" s="6">
        <v>6.76</v>
      </c>
      <c r="B57" s="59">
        <v>2.5150999999999999</v>
      </c>
      <c r="C57" s="1">
        <f t="shared" si="1"/>
        <v>2.5408047624833667</v>
      </c>
      <c r="D57" s="2">
        <f t="shared" si="4"/>
        <v>6.6073481432630328E-4</v>
      </c>
      <c r="E57" s="1">
        <f t="shared" si="2"/>
        <v>1.9706818000962494</v>
      </c>
      <c r="F57" s="1">
        <f t="shared" si="3"/>
        <v>0.57012296238711735</v>
      </c>
    </row>
    <row r="58" spans="1:6" x14ac:dyDescent="0.25">
      <c r="A58" s="6">
        <v>7.4210000000000003</v>
      </c>
      <c r="B58" s="59">
        <v>2.6010300000000002</v>
      </c>
      <c r="C58" s="1">
        <f t="shared" si="1"/>
        <v>2.6098651063287033</v>
      </c>
      <c r="D58" s="2">
        <f t="shared" si="4"/>
        <v>7.8059103839489598E-5</v>
      </c>
      <c r="E58" s="1">
        <f t="shared" si="2"/>
        <v>1.9666797220460526</v>
      </c>
      <c r="F58" s="1">
        <f t="shared" si="3"/>
        <v>0.64318538428265093</v>
      </c>
    </row>
    <row r="59" spans="1:6" x14ac:dyDescent="0.25">
      <c r="A59" s="6">
        <v>8.1470000000000002</v>
      </c>
      <c r="B59" s="59">
        <v>2.6721300000000001</v>
      </c>
      <c r="C59" s="1">
        <f t="shared" si="1"/>
        <v>2.6588308935448515</v>
      </c>
      <c r="D59" s="2">
        <f t="shared" si="4"/>
        <v>1.7686623250537639E-4</v>
      </c>
      <c r="E59" s="1">
        <f t="shared" si="2"/>
        <v>1.9335884009781874</v>
      </c>
      <c r="F59" s="1">
        <f t="shared" si="3"/>
        <v>0.72524249256666429</v>
      </c>
    </row>
    <row r="60" spans="1:6" x14ac:dyDescent="0.25">
      <c r="A60" s="6">
        <v>8.9429999999999996</v>
      </c>
      <c r="B60" s="59">
        <v>2.7285400000000002</v>
      </c>
      <c r="C60" s="1">
        <f t="shared" si="1"/>
        <v>2.6900302712077124</v>
      </c>
      <c r="D60" s="2">
        <f t="shared" si="4"/>
        <v>1.4829992116555566E-3</v>
      </c>
      <c r="E60" s="1">
        <f t="shared" si="2"/>
        <v>1.8729558358588871</v>
      </c>
      <c r="F60" s="1">
        <f t="shared" si="3"/>
        <v>0.81707443534882529</v>
      </c>
    </row>
    <row r="61" spans="1:6" x14ac:dyDescent="0.25">
      <c r="A61" s="6">
        <v>9.8179999999999996</v>
      </c>
      <c r="B61" s="59">
        <v>2.77237</v>
      </c>
      <c r="C61" s="1">
        <f t="shared" si="1"/>
        <v>2.7071380292868681</v>
      </c>
      <c r="D61" s="2">
        <f t="shared" si="4"/>
        <v>4.2552100031188998E-3</v>
      </c>
      <c r="E61" s="1">
        <f t="shared" si="2"/>
        <v>1.7872590689408723</v>
      </c>
      <c r="F61" s="1">
        <f t="shared" si="3"/>
        <v>0.91987896034599581</v>
      </c>
    </row>
    <row r="62" spans="1:6" x14ac:dyDescent="0.25">
      <c r="A62" s="5">
        <v>10.78</v>
      </c>
      <c r="B62" s="59">
        <v>2.80776</v>
      </c>
      <c r="C62" s="1">
        <f t="shared" si="1"/>
        <v>2.7146923155649407</v>
      </c>
      <c r="D62" s="2">
        <f t="shared" si="4"/>
        <v>8.6615938861037793E-3</v>
      </c>
      <c r="E62" s="1">
        <f t="shared" si="2"/>
        <v>1.6800285242777382</v>
      </c>
      <c r="F62" s="1">
        <f t="shared" si="3"/>
        <v>1.0346637912872023</v>
      </c>
    </row>
    <row r="63" spans="1:6" x14ac:dyDescent="0.25">
      <c r="A63" s="5">
        <v>11.83</v>
      </c>
      <c r="B63" s="59">
        <v>2.8375900000000001</v>
      </c>
      <c r="C63" s="1">
        <f t="shared" si="1"/>
        <v>2.7179314723589827</v>
      </c>
      <c r="D63" s="2">
        <f t="shared" si="4"/>
        <v>1.4318163237216117E-2</v>
      </c>
      <c r="E63" s="1">
        <f t="shared" si="2"/>
        <v>1.5564879668536094</v>
      </c>
      <c r="F63" s="1">
        <f t="shared" si="3"/>
        <v>1.1614435055053733</v>
      </c>
    </row>
    <row r="64" spans="1:6" x14ac:dyDescent="0.25">
      <c r="A64" s="5">
        <v>12.99</v>
      </c>
      <c r="B64" s="59">
        <v>2.8596400000000002</v>
      </c>
      <c r="C64" s="1">
        <f t="shared" si="1"/>
        <v>2.7224738850304546</v>
      </c>
      <c r="D64" s="2">
        <f t="shared" si="4"/>
        <v>1.881454309583859E-2</v>
      </c>
      <c r="E64" s="1">
        <f t="shared" si="2"/>
        <v>1.4199295777124208</v>
      </c>
      <c r="F64" s="1">
        <f t="shared" si="3"/>
        <v>1.3025443073180338</v>
      </c>
    </row>
    <row r="65" spans="1:6" x14ac:dyDescent="0.25">
      <c r="A65" s="5">
        <v>14.26</v>
      </c>
      <c r="B65" s="59">
        <v>2.8660800000000002</v>
      </c>
      <c r="C65" s="1">
        <f t="shared" si="1"/>
        <v>2.73376435188369</v>
      </c>
      <c r="D65" s="2">
        <f t="shared" si="4"/>
        <v>1.7507430736439206E-2</v>
      </c>
      <c r="E65" s="1">
        <f t="shared" si="2"/>
        <v>1.2764704188023661</v>
      </c>
      <c r="F65" s="1">
        <f t="shared" si="3"/>
        <v>1.4572939330813237</v>
      </c>
    </row>
    <row r="66" spans="1:6" x14ac:dyDescent="0.25">
      <c r="A66" s="3">
        <v>15.65</v>
      </c>
      <c r="B66" s="59">
        <v>2.8492600000000001</v>
      </c>
      <c r="C66" s="1">
        <f t="shared" si="1"/>
        <v>2.7566697268744305</v>
      </c>
      <c r="D66" s="2">
        <f t="shared" ref="D66:D97" si="5">(B66-C66)^2</f>
        <v>8.5729586774675876E-3</v>
      </c>
      <c r="E66" s="1">
        <f t="shared" si="2"/>
        <v>1.130926662712638</v>
      </c>
      <c r="F66" s="1">
        <f t="shared" si="3"/>
        <v>1.6257430641617925</v>
      </c>
    </row>
    <row r="67" spans="1:6" x14ac:dyDescent="0.25">
      <c r="A67" s="3">
        <v>17.18</v>
      </c>
      <c r="B67" s="59">
        <v>2.8115299999999999</v>
      </c>
      <c r="C67" s="1">
        <f t="shared" ref="C67:C101" si="6">($K$3*((1/(SQRT(2*PI())*$K$5))*EXP(-((((LOG(A67,2)-$K$4)^2)/(2*($K$5^2)))))))+(($N$4/$N$5)*(A67^($N$4-1))*EXP(-((A67/$N$5)^$N$4)))</f>
        <v>2.7952807054094064</v>
      </c>
      <c r="D67" s="2">
        <f t="shared" si="5"/>
        <v>2.64039574691889E-4</v>
      </c>
      <c r="E67" s="1">
        <f t="shared" ref="E67:E101" si="7">($K$3*((1/(SQRT(2*PI())*$K$5))*EXP(-((((LOG(A67,2)-$K$4)^2)/(2*($K$5^2)))))))</f>
        <v>0.98682344385365661</v>
      </c>
      <c r="F67" s="1">
        <f t="shared" ref="F67:F101" si="8">(($N$4/$N$5)*(A67^($N$4-1))*EXP(-((A67/$N$5)^$N$4)))</f>
        <v>1.8084572615557499</v>
      </c>
    </row>
    <row r="68" spans="1:6" x14ac:dyDescent="0.25">
      <c r="A68" s="3">
        <v>18.86</v>
      </c>
      <c r="B68" s="59">
        <v>2.7706300000000001</v>
      </c>
      <c r="C68" s="1">
        <f t="shared" si="6"/>
        <v>2.8521095621562567</v>
      </c>
      <c r="D68" s="2">
        <f t="shared" si="5"/>
        <v>6.6389190491752681E-3</v>
      </c>
      <c r="E68" s="1">
        <f t="shared" si="7"/>
        <v>0.84829819298221099</v>
      </c>
      <c r="F68" s="1">
        <f t="shared" si="8"/>
        <v>2.0038113691740458</v>
      </c>
    </row>
    <row r="69" spans="1:6" x14ac:dyDescent="0.25">
      <c r="A69" s="5">
        <v>20.71</v>
      </c>
      <c r="B69" s="59">
        <v>2.75542</v>
      </c>
      <c r="C69" s="1">
        <f t="shared" si="6"/>
        <v>2.9280506738678183</v>
      </c>
      <c r="D69" s="2">
        <f t="shared" si="5"/>
        <v>2.9801349560057037E-2</v>
      </c>
      <c r="E69" s="1">
        <f t="shared" si="7"/>
        <v>0.71804547695116316</v>
      </c>
      <c r="F69" s="1">
        <f t="shared" si="8"/>
        <v>2.2100051969166552</v>
      </c>
    </row>
    <row r="70" spans="1:6" x14ac:dyDescent="0.25">
      <c r="A70" s="3">
        <v>22.73</v>
      </c>
      <c r="B70" s="59">
        <v>2.79291</v>
      </c>
      <c r="C70" s="1">
        <f t="shared" si="6"/>
        <v>3.0206896918333759</v>
      </c>
      <c r="D70" s="2">
        <f t="shared" si="5"/>
        <v>5.1883588011707678E-2</v>
      </c>
      <c r="E70" s="1">
        <f t="shared" si="7"/>
        <v>0.59934562093101373</v>
      </c>
      <c r="F70" s="1">
        <f t="shared" si="8"/>
        <v>2.4213440709023621</v>
      </c>
    </row>
    <row r="71" spans="1:6" x14ac:dyDescent="0.25">
      <c r="A71" s="3">
        <v>24.95</v>
      </c>
      <c r="B71" s="59">
        <v>2.8941699999999999</v>
      </c>
      <c r="C71" s="1">
        <f t="shared" si="6"/>
        <v>3.1260083272733246</v>
      </c>
      <c r="D71" s="2">
        <f t="shared" si="5"/>
        <v>5.3749009992893192E-2</v>
      </c>
      <c r="E71" s="1">
        <f t="shared" si="7"/>
        <v>0.49276400673503162</v>
      </c>
      <c r="F71" s="1">
        <f t="shared" si="8"/>
        <v>2.6332443205382927</v>
      </c>
    </row>
    <row r="72" spans="1:6" x14ac:dyDescent="0.25">
      <c r="A72" s="3">
        <v>27.39</v>
      </c>
      <c r="B72" s="59">
        <v>3.0478399999999999</v>
      </c>
      <c r="C72" s="1">
        <f t="shared" si="6"/>
        <v>3.2362456472104202</v>
      </c>
      <c r="D72" s="2">
        <f t="shared" si="5"/>
        <v>3.5496687900777354E-2</v>
      </c>
      <c r="E72" s="1">
        <f t="shared" si="7"/>
        <v>0.39903900782040014</v>
      </c>
      <c r="F72" s="1">
        <f t="shared" si="8"/>
        <v>2.8372066393900202</v>
      </c>
    </row>
    <row r="73" spans="1:6" x14ac:dyDescent="0.25">
      <c r="A73" s="3">
        <v>30.07</v>
      </c>
      <c r="B73" s="59">
        <v>3.22336</v>
      </c>
      <c r="C73" s="1">
        <f t="shared" si="6"/>
        <v>3.3399014764759407</v>
      </c>
      <c r="D73" s="2">
        <f t="shared" si="5"/>
        <v>1.3581915739192242E-2</v>
      </c>
      <c r="E73" s="1">
        <f t="shared" si="7"/>
        <v>0.31831599095505364</v>
      </c>
      <c r="F73" s="1">
        <f t="shared" si="8"/>
        <v>3.021585485520887</v>
      </c>
    </row>
    <row r="74" spans="1:6" x14ac:dyDescent="0.25">
      <c r="A74" s="3">
        <v>33.01</v>
      </c>
      <c r="B74" s="59">
        <v>3.3822899999999998</v>
      </c>
      <c r="C74" s="1">
        <f t="shared" si="6"/>
        <v>3.4217255023327051</v>
      </c>
      <c r="D74" s="2">
        <f t="shared" si="5"/>
        <v>1.5551588442328066E-3</v>
      </c>
      <c r="E74" s="1">
        <f t="shared" si="7"/>
        <v>0.25020137768857953</v>
      </c>
      <c r="F74" s="1">
        <f t="shared" si="8"/>
        <v>3.1715241246441255</v>
      </c>
    </row>
    <row r="75" spans="1:6" x14ac:dyDescent="0.25">
      <c r="A75" s="3">
        <v>36.24</v>
      </c>
      <c r="B75" s="59">
        <v>3.4918499999999999</v>
      </c>
      <c r="C75" s="1">
        <f t="shared" si="6"/>
        <v>3.4633577916405112</v>
      </c>
      <c r="D75" s="2">
        <f t="shared" si="5"/>
        <v>8.1180593720051974E-4</v>
      </c>
      <c r="E75" s="1">
        <f t="shared" si="7"/>
        <v>0.19371098005249709</v>
      </c>
      <c r="F75" s="1">
        <f t="shared" si="8"/>
        <v>3.269646811588014</v>
      </c>
    </row>
    <row r="76" spans="1:6" x14ac:dyDescent="0.25">
      <c r="A76" s="3">
        <v>39.78</v>
      </c>
      <c r="B76" s="59">
        <v>3.5293100000000002</v>
      </c>
      <c r="C76" s="1">
        <f t="shared" si="6"/>
        <v>3.444139888456379</v>
      </c>
      <c r="D76" s="2">
        <f t="shared" si="5"/>
        <v>7.2539479003528766E-3</v>
      </c>
      <c r="E76" s="1">
        <f t="shared" si="7"/>
        <v>0.14781738640273373</v>
      </c>
      <c r="F76" s="1">
        <f t="shared" si="8"/>
        <v>3.2963225020536453</v>
      </c>
    </row>
    <row r="77" spans="1:6" x14ac:dyDescent="0.25">
      <c r="A77" s="3">
        <v>43.67</v>
      </c>
      <c r="B77" s="59">
        <v>3.4770400000000001</v>
      </c>
      <c r="C77" s="1">
        <f t="shared" si="6"/>
        <v>3.3435629512047642</v>
      </c>
      <c r="D77" s="2">
        <f t="shared" si="5"/>
        <v>1.781612255508579E-2</v>
      </c>
      <c r="E77" s="1">
        <f t="shared" si="7"/>
        <v>0.11109546446067078</v>
      </c>
      <c r="F77" s="1">
        <f t="shared" si="8"/>
        <v>3.2324674867440932</v>
      </c>
    </row>
    <row r="78" spans="1:6" x14ac:dyDescent="0.25">
      <c r="A78" s="3">
        <v>47.94</v>
      </c>
      <c r="B78" s="59">
        <v>3.3165800000000001</v>
      </c>
      <c r="C78" s="1">
        <f t="shared" si="6"/>
        <v>3.1449537469272419</v>
      </c>
      <c r="D78" s="2">
        <f t="shared" si="5"/>
        <v>2.9455570743794422E-2</v>
      </c>
      <c r="E78" s="1">
        <f t="shared" si="7"/>
        <v>8.2261468952495961E-2</v>
      </c>
      <c r="F78" s="1">
        <f t="shared" si="8"/>
        <v>3.0626922779747461</v>
      </c>
    </row>
    <row r="79" spans="1:6" x14ac:dyDescent="0.25">
      <c r="A79" s="3">
        <v>52.62</v>
      </c>
      <c r="B79" s="59">
        <v>3.0245199999999999</v>
      </c>
      <c r="C79" s="1">
        <f t="shared" si="6"/>
        <v>2.8411142171197219</v>
      </c>
      <c r="D79" s="2">
        <f t="shared" si="5"/>
        <v>3.3637681193927668E-2</v>
      </c>
      <c r="E79" s="1">
        <f t="shared" si="7"/>
        <v>6.0038510858674621E-2</v>
      </c>
      <c r="F79" s="1">
        <f t="shared" si="8"/>
        <v>2.7810757062610474</v>
      </c>
    </row>
    <row r="80" spans="1:6" x14ac:dyDescent="0.25">
      <c r="A80" s="3">
        <v>57.77</v>
      </c>
      <c r="B80" s="59">
        <v>2.58508</v>
      </c>
      <c r="C80" s="1">
        <f t="shared" si="6"/>
        <v>2.4375256904001361</v>
      </c>
      <c r="D80" s="2">
        <f t="shared" si="5"/>
        <v>2.1772274281492497E-2</v>
      </c>
      <c r="E80" s="1">
        <f t="shared" si="7"/>
        <v>4.3136455786773061E-2</v>
      </c>
      <c r="F80" s="1">
        <f t="shared" si="8"/>
        <v>2.3943892346133628</v>
      </c>
    </row>
    <row r="81" spans="1:6" x14ac:dyDescent="0.25">
      <c r="A81" s="3">
        <v>63.41</v>
      </c>
      <c r="B81" s="59">
        <v>2.0150899999999998</v>
      </c>
      <c r="C81" s="1">
        <f t="shared" si="6"/>
        <v>1.961722673993294</v>
      </c>
      <c r="D81" s="2">
        <f t="shared" si="5"/>
        <v>2.8480714851060168E-3</v>
      </c>
      <c r="E81" s="1">
        <f t="shared" si="7"/>
        <v>3.0558315237788417E-2</v>
      </c>
      <c r="F81" s="1">
        <f t="shared" si="8"/>
        <v>1.9311643587555056</v>
      </c>
    </row>
    <row r="82" spans="1:6" x14ac:dyDescent="0.25">
      <c r="A82" s="3">
        <v>69.61</v>
      </c>
      <c r="B82" s="59">
        <v>1.3718399999999999</v>
      </c>
      <c r="C82" s="1">
        <f t="shared" si="6"/>
        <v>1.4564174438917823</v>
      </c>
      <c r="D82" s="2">
        <f t="shared" si="5"/>
        <v>7.1533440152675909E-3</v>
      </c>
      <c r="E82" s="1">
        <f t="shared" si="7"/>
        <v>2.1316776295189126E-2</v>
      </c>
      <c r="F82" s="1">
        <f t="shared" si="8"/>
        <v>1.4351006675965932</v>
      </c>
    </row>
    <row r="83" spans="1:6" x14ac:dyDescent="0.25">
      <c r="A83" s="3">
        <v>76.42</v>
      </c>
      <c r="B83" s="59">
        <v>0.73850199999999999</v>
      </c>
      <c r="C83" s="1">
        <f t="shared" si="6"/>
        <v>0.97811194719536365</v>
      </c>
      <c r="D83" s="2">
        <f t="shared" si="5"/>
        <v>5.7412926794964958E-2</v>
      </c>
      <c r="E83" s="1">
        <f t="shared" si="7"/>
        <v>1.4646854831128332E-2</v>
      </c>
      <c r="F83" s="1">
        <f t="shared" si="8"/>
        <v>0.96346509236423528</v>
      </c>
    </row>
    <row r="84" spans="1:6" x14ac:dyDescent="0.25">
      <c r="A84" s="3">
        <v>83.89</v>
      </c>
      <c r="B84" s="59">
        <v>0.28099099999999999</v>
      </c>
      <c r="C84" s="1">
        <f t="shared" si="6"/>
        <v>0.58048437235075723</v>
      </c>
      <c r="D84" s="2">
        <f t="shared" si="5"/>
        <v>8.9696280082029317E-2</v>
      </c>
      <c r="E84" s="1">
        <f t="shared" si="7"/>
        <v>9.917830146348422E-3</v>
      </c>
      <c r="F84" s="1">
        <f t="shared" si="8"/>
        <v>0.57056654220440883</v>
      </c>
    </row>
    <row r="85" spans="1:6" x14ac:dyDescent="0.25">
      <c r="A85" s="3">
        <v>92.09</v>
      </c>
      <c r="B85" s="59">
        <v>5.92822E-2</v>
      </c>
      <c r="C85" s="1">
        <f t="shared" si="6"/>
        <v>0.29568894363099951</v>
      </c>
      <c r="D85" s="2">
        <f t="shared" si="5"/>
        <v>5.5888148434213122E-2</v>
      </c>
      <c r="E85" s="1">
        <f t="shared" si="7"/>
        <v>6.6163010053767925E-3</v>
      </c>
      <c r="F85" s="1">
        <f t="shared" si="8"/>
        <v>0.28907264262562271</v>
      </c>
    </row>
    <row r="86" spans="1:6" x14ac:dyDescent="0.25">
      <c r="A86" s="3">
        <v>101.1</v>
      </c>
      <c r="B86" s="59">
        <v>5.79103E-3</v>
      </c>
      <c r="C86" s="1">
        <f t="shared" si="6"/>
        <v>0.12490495541565649</v>
      </c>
      <c r="D86" s="2">
        <f t="shared" si="5"/>
        <v>1.4188127227926577E-2</v>
      </c>
      <c r="E86" s="1">
        <f t="shared" si="7"/>
        <v>4.3468011806633159E-3</v>
      </c>
      <c r="F86" s="1">
        <f t="shared" si="8"/>
        <v>0.12055815423499318</v>
      </c>
    </row>
    <row r="87" spans="1:6" x14ac:dyDescent="0.25">
      <c r="A87" s="3">
        <v>111</v>
      </c>
      <c r="B87" s="59">
        <v>1.02544E-4</v>
      </c>
      <c r="C87" s="1">
        <f t="shared" si="6"/>
        <v>4.2286072137634655E-2</v>
      </c>
      <c r="D87" s="2">
        <f t="shared" si="5"/>
        <v>1.7794500461386143E-3</v>
      </c>
      <c r="E87" s="1">
        <f t="shared" si="7"/>
        <v>2.8124073238346161E-3</v>
      </c>
      <c r="F87" s="1">
        <f t="shared" si="8"/>
        <v>3.947366481380004E-2</v>
      </c>
    </row>
    <row r="88" spans="1:6" x14ac:dyDescent="0.25">
      <c r="A88" s="3">
        <v>121.8</v>
      </c>
      <c r="B88" s="59">
        <v>0</v>
      </c>
      <c r="C88" s="1">
        <f t="shared" si="6"/>
        <v>1.1468907006889033E-2</v>
      </c>
      <c r="D88" s="2">
        <f t="shared" si="5"/>
        <v>1.3153582793266837E-4</v>
      </c>
      <c r="E88" s="1">
        <f t="shared" si="7"/>
        <v>1.7976287950684853E-3</v>
      </c>
      <c r="F88" s="1">
        <f t="shared" si="8"/>
        <v>9.6712782118205474E-3</v>
      </c>
    </row>
    <row r="89" spans="1:6" x14ac:dyDescent="0.25">
      <c r="A89" s="3">
        <v>133.69999999999999</v>
      </c>
      <c r="B89" s="59">
        <v>0</v>
      </c>
      <c r="C89" s="1">
        <f t="shared" si="6"/>
        <v>2.7586776099439696E-3</v>
      </c>
      <c r="D89" s="2">
        <f t="shared" si="5"/>
        <v>7.6103021556061724E-6</v>
      </c>
      <c r="E89" s="1">
        <f t="shared" si="7"/>
        <v>1.1300371781530641E-3</v>
      </c>
      <c r="F89" s="1">
        <f t="shared" si="8"/>
        <v>1.6286404317909055E-3</v>
      </c>
    </row>
    <row r="90" spans="1:6" x14ac:dyDescent="0.25">
      <c r="A90" s="3">
        <v>146.80000000000001</v>
      </c>
      <c r="B90" s="59">
        <v>0</v>
      </c>
      <c r="C90" s="1">
        <f t="shared" si="6"/>
        <v>8.710252002971455E-4</v>
      </c>
      <c r="D90" s="2">
        <f t="shared" si="5"/>
        <v>7.5868489955268243E-7</v>
      </c>
      <c r="E90" s="1">
        <f t="shared" si="7"/>
        <v>6.9893531208128988E-4</v>
      </c>
      <c r="F90" s="1">
        <f t="shared" si="8"/>
        <v>1.7208988821585568E-4</v>
      </c>
    </row>
    <row r="91" spans="1:6" x14ac:dyDescent="0.25">
      <c r="A91" s="3">
        <v>161.19999999999999</v>
      </c>
      <c r="B91" s="59">
        <v>0</v>
      </c>
      <c r="C91" s="1">
        <f t="shared" si="6"/>
        <v>4.3584637558468113E-4</v>
      </c>
      <c r="D91" s="2">
        <f t="shared" si="5"/>
        <v>1.8996206311030291E-7</v>
      </c>
      <c r="E91" s="1">
        <f t="shared" si="7"/>
        <v>4.2563349719373076E-4</v>
      </c>
      <c r="F91" s="1">
        <f t="shared" si="8"/>
        <v>1.0212878390950386E-5</v>
      </c>
    </row>
    <row r="92" spans="1:6" x14ac:dyDescent="0.25">
      <c r="A92" s="3">
        <v>176.9</v>
      </c>
      <c r="B92" s="59">
        <v>0</v>
      </c>
      <c r="C92" s="1">
        <f t="shared" si="6"/>
        <v>2.5654300165695634E-4</v>
      </c>
      <c r="D92" s="2">
        <f t="shared" si="5"/>
        <v>6.5814311699161098E-8</v>
      </c>
      <c r="E92" s="1">
        <f t="shared" si="7"/>
        <v>2.5623810431851519E-4</v>
      </c>
      <c r="F92" s="1">
        <f t="shared" si="8"/>
        <v>3.0489733844115013E-7</v>
      </c>
    </row>
    <row r="93" spans="1:6" x14ac:dyDescent="0.25">
      <c r="A93" s="3">
        <v>194.2</v>
      </c>
      <c r="B93" s="59">
        <v>0</v>
      </c>
      <c r="C93" s="1">
        <f t="shared" si="6"/>
        <v>1.5167903933131787E-4</v>
      </c>
      <c r="D93" s="2">
        <f t="shared" si="5"/>
        <v>2.3006530972471474E-8</v>
      </c>
      <c r="E93" s="1">
        <f t="shared" si="7"/>
        <v>1.5167531121885981E-4</v>
      </c>
      <c r="F93" s="1">
        <f t="shared" si="8"/>
        <v>3.7281124580552476E-9</v>
      </c>
    </row>
    <row r="94" spans="1:6" x14ac:dyDescent="0.25">
      <c r="A94" s="3">
        <v>213.2</v>
      </c>
      <c r="B94" s="59">
        <v>0</v>
      </c>
      <c r="C94" s="1">
        <f t="shared" si="6"/>
        <v>8.8431205694114703E-5</v>
      </c>
      <c r="D94" s="2">
        <f t="shared" si="5"/>
        <v>7.8200781405148249E-9</v>
      </c>
      <c r="E94" s="1">
        <f t="shared" si="7"/>
        <v>8.8431190449529879E-5</v>
      </c>
      <c r="F94" s="1">
        <f t="shared" si="8"/>
        <v>1.5244584825536766E-11</v>
      </c>
    </row>
    <row r="95" spans="1:6" x14ac:dyDescent="0.25">
      <c r="A95" s="3">
        <v>234</v>
      </c>
      <c r="B95" s="59">
        <v>0</v>
      </c>
      <c r="C95" s="1">
        <f t="shared" si="6"/>
        <v>5.0870427413597854E-5</v>
      </c>
      <c r="D95" s="2">
        <f t="shared" si="5"/>
        <v>2.5878003852421282E-9</v>
      </c>
      <c r="E95" s="1">
        <f t="shared" si="7"/>
        <v>5.0870427397231429E-5</v>
      </c>
      <c r="F95" s="1">
        <f t="shared" si="8"/>
        <v>1.6366424060168855E-14</v>
      </c>
    </row>
    <row r="96" spans="1:6" x14ac:dyDescent="0.25">
      <c r="A96" s="3">
        <v>256.89999999999998</v>
      </c>
      <c r="B96" s="4">
        <v>0</v>
      </c>
      <c r="C96" s="1">
        <f t="shared" si="6"/>
        <v>2.8782764175072958E-5</v>
      </c>
      <c r="D96" s="2">
        <f t="shared" si="5"/>
        <v>8.284475135578633E-10</v>
      </c>
      <c r="E96" s="1">
        <f t="shared" si="7"/>
        <v>2.878276417506976E-5</v>
      </c>
      <c r="F96" s="1">
        <f t="shared" si="8"/>
        <v>3.1976642923116972E-18</v>
      </c>
    </row>
    <row r="97" spans="1:6" x14ac:dyDescent="0.25">
      <c r="A97" s="3">
        <v>282.10000000000002</v>
      </c>
      <c r="B97" s="4">
        <v>0</v>
      </c>
      <c r="C97" s="1">
        <f t="shared" si="6"/>
        <v>1.6022575134309223E-5</v>
      </c>
      <c r="D97" s="2">
        <f t="shared" si="5"/>
        <v>2.5672291393458421E-10</v>
      </c>
      <c r="E97" s="1">
        <f t="shared" si="7"/>
        <v>1.6022575134309223E-5</v>
      </c>
      <c r="F97" s="1">
        <f t="shared" si="8"/>
        <v>7.5028883698245813E-23</v>
      </c>
    </row>
    <row r="98" spans="1:6" x14ac:dyDescent="0.25">
      <c r="A98" s="3">
        <v>309.60000000000002</v>
      </c>
      <c r="B98" s="4">
        <v>0</v>
      </c>
      <c r="C98" s="1">
        <f t="shared" si="6"/>
        <v>8.8181671204731635E-6</v>
      </c>
      <c r="D98" s="2">
        <f t="shared" ref="D98:D101" si="9">(B98-C98)^2</f>
        <v>7.7760071364593963E-11</v>
      </c>
      <c r="E98" s="1">
        <f t="shared" si="7"/>
        <v>8.8181671204731635E-6</v>
      </c>
      <c r="F98" s="1">
        <f t="shared" si="8"/>
        <v>1.4108464582552116E-28</v>
      </c>
    </row>
    <row r="99" spans="1:6" x14ac:dyDescent="0.25">
      <c r="A99" s="3">
        <v>339.9</v>
      </c>
      <c r="B99" s="4">
        <v>0</v>
      </c>
      <c r="C99" s="1">
        <f t="shared" si="6"/>
        <v>4.7705209301011694E-6</v>
      </c>
      <c r="D99" s="2">
        <f t="shared" si="9"/>
        <v>2.2757869944533326E-11</v>
      </c>
      <c r="E99" s="1">
        <f t="shared" si="7"/>
        <v>4.7705209301011694E-6</v>
      </c>
      <c r="F99" s="1">
        <f t="shared" si="8"/>
        <v>1.0081051925394685E-35</v>
      </c>
    </row>
    <row r="100" spans="1:6" x14ac:dyDescent="0.25">
      <c r="A100" s="3">
        <v>373.1</v>
      </c>
      <c r="B100" s="4">
        <v>0</v>
      </c>
      <c r="C100" s="1">
        <f t="shared" si="6"/>
        <v>2.5455393019570996E-6</v>
      </c>
      <c r="D100" s="2">
        <f t="shared" si="9"/>
        <v>6.479770337808238E-12</v>
      </c>
      <c r="E100" s="1">
        <f t="shared" si="7"/>
        <v>2.5455393019570996E-6</v>
      </c>
      <c r="F100" s="1">
        <f t="shared" si="8"/>
        <v>1.3700281351654489E-44</v>
      </c>
    </row>
    <row r="101" spans="1:6" x14ac:dyDescent="0.25">
      <c r="A101" s="3">
        <v>409.6</v>
      </c>
      <c r="B101" s="4">
        <v>0</v>
      </c>
      <c r="C101" s="1">
        <f t="shared" si="6"/>
        <v>1.3369108202721599E-6</v>
      </c>
      <c r="D101" s="2">
        <f t="shared" si="9"/>
        <v>1.7873305413607794E-12</v>
      </c>
      <c r="E101" s="1">
        <f t="shared" si="7"/>
        <v>1.3369108202721599E-6</v>
      </c>
      <c r="F101" s="1">
        <f t="shared" si="8"/>
        <v>1.2618710687680687E-55</v>
      </c>
    </row>
    <row r="102" spans="1:6" x14ac:dyDescent="0.25">
      <c r="A102" s="59">
        <v>449.66</v>
      </c>
      <c r="B102" s="59">
        <v>0</v>
      </c>
      <c r="C102" s="1">
        <f t="shared" ref="C102:C118" si="10">($K$3*((1/(SQRT(2*PI())*$K$5))*EXP(-((((LOG(A102,2)-$K$4)^2)/(2*($K$5^2)))))))+(($N$4/$N$5)*(A102^($N$4-1))*EXP(-((A102/$N$5)^$N$4)))</f>
        <v>6.9184939335900572E-7</v>
      </c>
      <c r="D102" s="2">
        <f t="shared" ref="D102:D118" si="11">(B102-C102)^2</f>
        <v>4.7865558309122425E-13</v>
      </c>
      <c r="E102" s="1">
        <f t="shared" ref="E102:E118" si="12">($K$3*((1/(SQRT(2*PI())*$K$5))*EXP(-((((LOG(A102,2)-$K$4)^2)/(2*($K$5^2)))))))</f>
        <v>6.9184939335900572E-7</v>
      </c>
      <c r="F102" s="1">
        <f t="shared" ref="F102:F118" si="13">(($N$4/$N$5)*(A102^($N$4-1))*EXP(-((A102/$N$5)^$N$4)))</f>
        <v>2.4617380811788235E-69</v>
      </c>
    </row>
    <row r="103" spans="1:6" x14ac:dyDescent="0.25">
      <c r="A103" s="59">
        <v>493.62</v>
      </c>
      <c r="B103" s="59">
        <v>0</v>
      </c>
      <c r="C103" s="1">
        <f t="shared" si="10"/>
        <v>3.5281885039881616E-7</v>
      </c>
      <c r="D103" s="2">
        <f t="shared" si="11"/>
        <v>1.2448114119674222E-13</v>
      </c>
      <c r="E103" s="1">
        <f t="shared" si="12"/>
        <v>3.5281885039881616E-7</v>
      </c>
      <c r="F103" s="1">
        <f t="shared" si="13"/>
        <v>2.3231249557371749E-86</v>
      </c>
    </row>
    <row r="104" spans="1:6" x14ac:dyDescent="0.25">
      <c r="A104" s="59">
        <v>541.88</v>
      </c>
      <c r="B104" s="59">
        <v>0</v>
      </c>
      <c r="C104" s="1">
        <f t="shared" si="10"/>
        <v>1.7725506119723373E-7</v>
      </c>
      <c r="D104" s="2">
        <f t="shared" si="11"/>
        <v>3.1419356720035072E-14</v>
      </c>
      <c r="E104" s="1">
        <f t="shared" si="12"/>
        <v>1.7725506119723373E-7</v>
      </c>
      <c r="F104" s="1">
        <f t="shared" si="13"/>
        <v>1.6534465284333262E-107</v>
      </c>
    </row>
    <row r="105" spans="1:6" x14ac:dyDescent="0.25">
      <c r="A105" s="59">
        <v>594.85</v>
      </c>
      <c r="B105" s="59">
        <v>0</v>
      </c>
      <c r="C105" s="1">
        <f t="shared" si="10"/>
        <v>8.7742812448469707E-8</v>
      </c>
      <c r="D105" s="2">
        <f t="shared" si="11"/>
        <v>7.6988011363673312E-15</v>
      </c>
      <c r="E105" s="1">
        <f t="shared" si="12"/>
        <v>8.7742812448469707E-8</v>
      </c>
      <c r="F105" s="1">
        <f t="shared" si="13"/>
        <v>9.0890893936145646E-134</v>
      </c>
    </row>
    <row r="106" spans="1:6" x14ac:dyDescent="0.25">
      <c r="A106" s="59">
        <v>653.01</v>
      </c>
      <c r="B106" s="59">
        <v>0</v>
      </c>
      <c r="C106" s="1">
        <f t="shared" si="10"/>
        <v>4.278426426920454E-8</v>
      </c>
      <c r="D106" s="2">
        <f t="shared" si="11"/>
        <v>1.8304932690571322E-15</v>
      </c>
      <c r="E106" s="1">
        <f t="shared" si="12"/>
        <v>4.278426426920454E-8</v>
      </c>
      <c r="F106" s="1">
        <f t="shared" si="13"/>
        <v>2.199076613407785E-166</v>
      </c>
    </row>
    <row r="107" spans="1:6" x14ac:dyDescent="0.25">
      <c r="A107" s="59">
        <v>716.85</v>
      </c>
      <c r="B107" s="59">
        <v>0</v>
      </c>
      <c r="C107" s="1">
        <f t="shared" si="10"/>
        <v>2.0554507287675884E-8</v>
      </c>
      <c r="D107" s="2">
        <f t="shared" si="11"/>
        <v>4.2248776983912098E-16</v>
      </c>
      <c r="E107" s="1">
        <f t="shared" si="12"/>
        <v>2.0554507287675884E-8</v>
      </c>
      <c r="F107" s="1">
        <f t="shared" si="13"/>
        <v>7.0077114602540697E-207</v>
      </c>
    </row>
    <row r="108" spans="1:6" x14ac:dyDescent="0.25">
      <c r="A108" s="59">
        <v>786.93</v>
      </c>
      <c r="B108" s="59">
        <v>0</v>
      </c>
      <c r="C108" s="1">
        <f t="shared" si="10"/>
        <v>9.7287266719477175E-9</v>
      </c>
      <c r="D108" s="2">
        <f t="shared" si="11"/>
        <v>9.4648122657466917E-17</v>
      </c>
      <c r="E108" s="1">
        <f t="shared" si="12"/>
        <v>9.7287266719477175E-9</v>
      </c>
      <c r="F108" s="1">
        <f t="shared" si="13"/>
        <v>3.6661961754345273E-257</v>
      </c>
    </row>
    <row r="109" spans="1:6" x14ac:dyDescent="0.25">
      <c r="A109" s="59">
        <v>863.87</v>
      </c>
      <c r="B109" s="59">
        <v>0</v>
      </c>
      <c r="C109" s="1">
        <f t="shared" si="10"/>
        <v>4.5361651957516316E-9</v>
      </c>
      <c r="D109" s="2">
        <f t="shared" si="11"/>
        <v>2.0576794683148438E-17</v>
      </c>
      <c r="E109" s="1">
        <f t="shared" si="12"/>
        <v>4.5361651957516316E-9</v>
      </c>
      <c r="F109" s="1">
        <f t="shared" si="13"/>
        <v>0</v>
      </c>
    </row>
    <row r="110" spans="1:6" x14ac:dyDescent="0.25">
      <c r="A110" s="59">
        <v>948.32</v>
      </c>
      <c r="B110" s="59">
        <v>0</v>
      </c>
      <c r="C110" s="1">
        <f t="shared" si="10"/>
        <v>2.0839620311610978E-9</v>
      </c>
      <c r="D110" s="2">
        <f t="shared" si="11"/>
        <v>4.3428977473210878E-18</v>
      </c>
      <c r="E110" s="1">
        <f t="shared" si="12"/>
        <v>2.0839620311610978E-9</v>
      </c>
      <c r="F110" s="1">
        <f t="shared" si="13"/>
        <v>0</v>
      </c>
    </row>
    <row r="111" spans="1:6" x14ac:dyDescent="0.25">
      <c r="A111" s="59">
        <v>1041</v>
      </c>
      <c r="B111" s="59">
        <v>0</v>
      </c>
      <c r="C111" s="1">
        <f t="shared" si="10"/>
        <v>9.434173255585378E-10</v>
      </c>
      <c r="D111" s="2">
        <f t="shared" si="11"/>
        <v>8.9003625016402404E-19</v>
      </c>
      <c r="E111" s="1">
        <f t="shared" si="12"/>
        <v>9.434173255585378E-10</v>
      </c>
      <c r="F111" s="1">
        <f t="shared" si="13"/>
        <v>0</v>
      </c>
    </row>
    <row r="112" spans="1:6" x14ac:dyDescent="0.25">
      <c r="A112" s="59">
        <v>1142.8</v>
      </c>
      <c r="B112" s="59">
        <v>0</v>
      </c>
      <c r="C112" s="1">
        <f t="shared" si="10"/>
        <v>4.2056746558788497E-10</v>
      </c>
      <c r="D112" s="2">
        <f t="shared" si="11"/>
        <v>1.768769931110168E-19</v>
      </c>
      <c r="E112" s="1">
        <f t="shared" si="12"/>
        <v>4.2056746558788497E-10</v>
      </c>
      <c r="F112" s="1">
        <f t="shared" si="13"/>
        <v>0</v>
      </c>
    </row>
    <row r="113" spans="1:6" x14ac:dyDescent="0.25">
      <c r="A113" s="59">
        <v>1254.5</v>
      </c>
      <c r="B113" s="59">
        <v>0</v>
      </c>
      <c r="C113" s="1">
        <f t="shared" si="10"/>
        <v>1.847797443836683E-10</v>
      </c>
      <c r="D113" s="2">
        <f t="shared" si="11"/>
        <v>3.4143553934493797E-20</v>
      </c>
      <c r="E113" s="1">
        <f t="shared" si="12"/>
        <v>1.847797443836683E-10</v>
      </c>
      <c r="F113" s="1">
        <f t="shared" si="13"/>
        <v>0</v>
      </c>
    </row>
    <row r="114" spans="1:6" x14ac:dyDescent="0.25">
      <c r="A114" s="59">
        <v>1377.2</v>
      </c>
      <c r="B114" s="59">
        <v>0</v>
      </c>
      <c r="C114" s="1">
        <f t="shared" si="10"/>
        <v>7.9939524281149456E-11</v>
      </c>
      <c r="D114" s="2">
        <f t="shared" si="11"/>
        <v>6.3903275422964835E-21</v>
      </c>
      <c r="E114" s="1">
        <f t="shared" si="12"/>
        <v>7.9939524281149456E-11</v>
      </c>
      <c r="F114" s="1">
        <f t="shared" si="13"/>
        <v>0</v>
      </c>
    </row>
    <row r="115" spans="1:6" x14ac:dyDescent="0.25">
      <c r="A115" s="59">
        <v>1511.8</v>
      </c>
      <c r="B115" s="59">
        <v>0</v>
      </c>
      <c r="C115" s="1">
        <f t="shared" si="10"/>
        <v>3.4091906546349296E-11</v>
      </c>
      <c r="D115" s="2">
        <f t="shared" si="11"/>
        <v>1.162258091965014E-21</v>
      </c>
      <c r="E115" s="1">
        <f t="shared" si="12"/>
        <v>3.4091906546349296E-11</v>
      </c>
      <c r="F115" s="1">
        <f t="shared" si="13"/>
        <v>0</v>
      </c>
    </row>
    <row r="116" spans="1:6" x14ac:dyDescent="0.25">
      <c r="A116" s="59">
        <v>1659.6</v>
      </c>
      <c r="B116" s="59">
        <v>0</v>
      </c>
      <c r="C116" s="1">
        <f t="shared" si="10"/>
        <v>1.4320395210214327E-11</v>
      </c>
      <c r="D116" s="2">
        <f t="shared" si="11"/>
        <v>2.0507371897672945E-22</v>
      </c>
      <c r="E116" s="1">
        <f t="shared" si="12"/>
        <v>1.4320395210214327E-11</v>
      </c>
      <c r="F116" s="1">
        <f t="shared" si="13"/>
        <v>0</v>
      </c>
    </row>
    <row r="117" spans="1:6" x14ac:dyDescent="0.25">
      <c r="A117" s="59">
        <v>1821.9</v>
      </c>
      <c r="B117" s="59">
        <v>0</v>
      </c>
      <c r="C117" s="1">
        <f t="shared" si="10"/>
        <v>5.9246748321357563E-12</v>
      </c>
      <c r="D117" s="2">
        <f t="shared" si="11"/>
        <v>3.5101771866542853E-23</v>
      </c>
      <c r="E117" s="1">
        <f t="shared" si="12"/>
        <v>5.9246748321357563E-12</v>
      </c>
      <c r="F117" s="1">
        <f t="shared" si="13"/>
        <v>0</v>
      </c>
    </row>
    <row r="118" spans="1:6" x14ac:dyDescent="0.25">
      <c r="A118" s="80">
        <v>2000</v>
      </c>
      <c r="B118" s="80"/>
      <c r="C118" s="1">
        <f t="shared" si="10"/>
        <v>2.4156971122017693E-12</v>
      </c>
      <c r="D118" s="2">
        <f t="shared" si="11"/>
        <v>5.8355925378999675E-24</v>
      </c>
      <c r="E118" s="1">
        <f t="shared" si="12"/>
        <v>2.4156971122017693E-12</v>
      </c>
      <c r="F118" s="1">
        <f t="shared" si="13"/>
        <v>0</v>
      </c>
    </row>
    <row r="119" spans="1:6" x14ac:dyDescent="0.25">
      <c r="C119" s="115">
        <f>SUM(C2:C118)</f>
        <v>98.624740651777103</v>
      </c>
      <c r="D119" s="116">
        <f>SUM(D2:D118)</f>
        <v>0.86123045769083739</v>
      </c>
      <c r="E119" s="115">
        <f>SUM(E2:E118)</f>
        <v>40.479702872295277</v>
      </c>
      <c r="F119" s="115">
        <f>SUM(F2:F118)</f>
        <v>58.145037779481825</v>
      </c>
    </row>
  </sheetData>
  <conditionalFormatting sqref="C2:C1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E1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1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L9:M11"/>
  <sheetViews>
    <sheetView topLeftCell="A4" workbookViewId="0">
      <selection activeCell="M11" sqref="M11"/>
    </sheetView>
  </sheetViews>
  <sheetFormatPr baseColWidth="10" defaultRowHeight="15" x14ac:dyDescent="0.25"/>
  <sheetData>
    <row r="9" spans="12:13" x14ac:dyDescent="0.25">
      <c r="L9" s="182"/>
      <c r="M9" t="s">
        <v>90</v>
      </c>
    </row>
    <row r="10" spans="12:13" x14ac:dyDescent="0.25">
      <c r="L10" s="184"/>
      <c r="M10" t="s">
        <v>42</v>
      </c>
    </row>
    <row r="11" spans="12:13" x14ac:dyDescent="0.25">
      <c r="L11" s="18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Inicio</vt:lpstr>
      <vt:lpstr>Hoja3</vt:lpstr>
      <vt:lpstr>Unimodal</vt:lpstr>
      <vt:lpstr>Bimodal</vt:lpstr>
      <vt:lpstr>Trimodal</vt:lpstr>
      <vt:lpstr>Cuatrimodal</vt:lpstr>
      <vt:lpstr>Weibull</vt:lpstr>
      <vt:lpstr>Normal</vt:lpstr>
      <vt:lpstr>Combinada</vt:lpstr>
      <vt:lpstr>Gráficas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Isidoro Campaña</dc:creator>
  <cp:lastModifiedBy>Isidoro Campaña Lozano</cp:lastModifiedBy>
  <dcterms:created xsi:type="dcterms:W3CDTF">2013-02-23T15:25:41Z</dcterms:created>
  <dcterms:modified xsi:type="dcterms:W3CDTF">2018-05-24T12:59:40Z</dcterms:modified>
</cp:coreProperties>
</file>